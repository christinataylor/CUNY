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wnloads\Courses\CUNY\SPS\Git\IS 604 Simulation and Modeling techniques\Week 1\"/>
    </mc:Choice>
  </mc:AlternateContent>
  <bookViews>
    <workbookView xWindow="0" yWindow="0" windowWidth="24000" windowHeight="9135" tabRatio="603"/>
  </bookViews>
  <sheets>
    <sheet name="One Trial" sheetId="1" r:id="rId1"/>
    <sheet name="Experiment" sheetId="3" r:id="rId2"/>
    <sheet name="Explain" sheetId="4" r:id="rId3"/>
  </sheets>
  <functionGroups builtInGroupCount="18"/>
  <definedNames>
    <definedName name="Seed1">'One Trial'!$H$13</definedName>
    <definedName name="Seed2">Experiment!$O$9</definedName>
  </definedNames>
  <calcPr calcId="152511"/>
</workbook>
</file>

<file path=xl/calcChain.xml><?xml version="1.0" encoding="utf-8"?>
<calcChain xmlns="http://schemas.openxmlformats.org/spreadsheetml/2006/main">
  <c r="F23" i="1" l="1"/>
  <c r="G23" i="1" s="1"/>
  <c r="D7" i="1"/>
  <c r="D8" i="1" s="1"/>
  <c r="D9" i="1" s="1"/>
  <c r="D10" i="1" s="1"/>
  <c r="D11" i="1" s="1"/>
  <c r="D12" i="1" s="1"/>
  <c r="E27" i="3"/>
  <c r="E26" i="3"/>
  <c r="E24" i="3"/>
  <c r="E23" i="3"/>
  <c r="D21" i="3"/>
  <c r="E11" i="3" s="1" a="1"/>
  <c r="D39" i="3"/>
  <c r="D38" i="3"/>
  <c r="E8" i="3"/>
  <c r="E7" i="3"/>
  <c r="J6" i="3"/>
  <c r="B10" i="3"/>
  <c r="K15" i="1"/>
  <c r="E30" i="1"/>
  <c r="E33" i="1"/>
  <c r="E34" i="1"/>
  <c r="C33" i="1"/>
  <c r="C34" i="1"/>
  <c r="E25" i="1"/>
  <c r="E29" i="1"/>
  <c r="E26" i="1"/>
  <c r="E28" i="1"/>
  <c r="E27" i="1"/>
  <c r="E31" i="1"/>
  <c r="E32" i="1"/>
  <c r="O7" i="1"/>
  <c r="C25" i="1"/>
  <c r="C29" i="1"/>
  <c r="C26" i="1"/>
  <c r="C30" i="1"/>
  <c r="C28" i="1"/>
  <c r="C32" i="1"/>
  <c r="C27" i="1"/>
  <c r="C31" i="1"/>
  <c r="E35" i="1" l="1"/>
  <c r="E13" i="3"/>
  <c r="E14" i="3"/>
  <c r="E18" i="3"/>
  <c r="E15" i="3"/>
  <c r="E19" i="3"/>
  <c r="E11" i="3"/>
  <c r="E16" i="3"/>
  <c r="E20" i="3"/>
  <c r="E12" i="3"/>
  <c r="E17" i="3"/>
  <c r="E21" i="3"/>
  <c r="E16" i="1"/>
  <c r="E15" i="1"/>
  <c r="C16" i="1"/>
  <c r="C15" i="1"/>
  <c r="F24" i="1" l="1"/>
  <c r="I23" i="1"/>
  <c r="D25" i="1"/>
  <c r="J24" i="1"/>
  <c r="H24" i="1" l="1"/>
  <c r="J25" i="1" s="1"/>
  <c r="G24" i="1"/>
  <c r="D26" i="1"/>
  <c r="F25" i="1" l="1"/>
  <c r="I24" i="1"/>
  <c r="D27" i="1"/>
  <c r="H25" i="1" l="1"/>
  <c r="G25" i="1"/>
  <c r="D28" i="1"/>
  <c r="F26" i="1" l="1"/>
  <c r="I25" i="1"/>
  <c r="J26" i="1"/>
  <c r="D29" i="1"/>
  <c r="D30" i="1" l="1"/>
  <c r="H26" i="1"/>
  <c r="G26" i="1"/>
  <c r="F27" i="1" l="1"/>
  <c r="I26" i="1"/>
  <c r="J27" i="1"/>
  <c r="D31" i="1"/>
  <c r="H27" i="1" l="1"/>
  <c r="G27" i="1"/>
  <c r="D32" i="1"/>
  <c r="D33" i="1" s="1"/>
  <c r="D34" i="1" l="1"/>
  <c r="F28" i="1"/>
  <c r="I27" i="1"/>
  <c r="J28" i="1"/>
  <c r="H28" i="1" l="1"/>
  <c r="G28" i="1"/>
  <c r="F29" i="1" l="1"/>
  <c r="I28" i="1"/>
  <c r="J29" i="1"/>
  <c r="H29" i="1" l="1"/>
  <c r="G29" i="1"/>
  <c r="F30" i="1" l="1"/>
  <c r="I29" i="1"/>
  <c r="J30" i="1"/>
  <c r="H30" i="1" l="1"/>
  <c r="G30" i="1"/>
  <c r="F31" i="1" l="1"/>
  <c r="I30" i="1"/>
  <c r="J31" i="1"/>
  <c r="H31" i="1" l="1"/>
  <c r="G31" i="1"/>
  <c r="F32" i="1" l="1"/>
  <c r="I31" i="1"/>
  <c r="J32" i="1"/>
  <c r="H32" i="1" l="1"/>
  <c r="G32" i="1"/>
  <c r="F33" i="1" l="1"/>
  <c r="J33" i="1"/>
  <c r="I32" i="1"/>
  <c r="H33" i="1" l="1"/>
  <c r="G33" i="1"/>
  <c r="J15" i="1"/>
  <c r="I33" i="1" l="1"/>
  <c r="F34" i="1"/>
  <c r="J34" i="1"/>
  <c r="I16" i="1"/>
  <c r="I15" i="1"/>
  <c r="G16" i="1"/>
  <c r="G15" i="1"/>
  <c r="D6" i="3"/>
  <c r="L6" i="1" a="1"/>
  <c r="H34" i="1" l="1"/>
  <c r="I34" i="1" s="1"/>
  <c r="G34" i="1"/>
  <c r="G35" i="1" s="1"/>
  <c r="L13" i="1"/>
  <c r="L12" i="1"/>
  <c r="L6" i="1"/>
  <c r="L8" i="1"/>
  <c r="L10" i="1"/>
  <c r="L11" i="1"/>
  <c r="L7" i="1"/>
  <c r="L9" i="1"/>
  <c r="L14" i="1"/>
  <c r="L15" i="1"/>
</calcChain>
</file>

<file path=xl/sharedStrings.xml><?xml version="1.0" encoding="utf-8"?>
<sst xmlns="http://schemas.openxmlformats.org/spreadsheetml/2006/main" count="70" uniqueCount="57">
  <si>
    <t>Number of Trials:</t>
  </si>
  <si>
    <t>Trial</t>
  </si>
  <si>
    <t>Link</t>
  </si>
  <si>
    <t>Bins</t>
  </si>
  <si>
    <t>Frequency</t>
  </si>
  <si>
    <t>Link to Measure of Performance (Sample Values):</t>
  </si>
  <si>
    <t>Average</t>
  </si>
  <si>
    <t>Median</t>
  </si>
  <si>
    <t>Minimum</t>
  </si>
  <si>
    <t>Maximum</t>
  </si>
  <si>
    <t>Click the button, or hit the F9 key, to recalculate the spreadsheet and generate a new trial.</t>
  </si>
  <si>
    <t>Probability</t>
  </si>
  <si>
    <t>Cumulative
Probability</t>
  </si>
  <si>
    <t>Service
Times
(Minutes)</t>
  </si>
  <si>
    <t>Customer</t>
  </si>
  <si>
    <t>Service
Time
(Minutes)</t>
  </si>
  <si>
    <t>Interarrival
Time
(Minutes)</t>
  </si>
  <si>
    <t>Time Customer Waits in Queue</t>
  </si>
  <si>
    <t>Time Customer
Spends in System
(Minutes)</t>
  </si>
  <si>
    <t>Idle Time
of Server
(Minutes)</t>
  </si>
  <si>
    <t>Arrival Time</t>
  </si>
  <si>
    <t>Clock</t>
  </si>
  <si>
    <t>Time
Service
Begins</t>
  </si>
  <si>
    <t>Waiting Time
in Queue
(Minutes)</t>
  </si>
  <si>
    <t>Experiment:  Repeated Trials of the Single-Channel Queue</t>
  </si>
  <si>
    <t>This cell is linked to the output of a trial, and is</t>
  </si>
  <si>
    <t>Name of Measure:</t>
  </si>
  <si>
    <t>Avg. Cust. Waiting Time</t>
  </si>
  <si>
    <t xml:space="preserve">Number of Customers = </t>
  </si>
  <si>
    <t>Explanation of Model Logic:</t>
  </si>
  <si>
    <t>Time 
Service
Ends</t>
  </si>
  <si>
    <t>Interarrival Times
(minutes)</t>
  </si>
  <si>
    <t xml:space="preserve">Seed for Random Numbers </t>
  </si>
  <si>
    <t>You may change any value in green and re-run the experiment.</t>
  </si>
  <si>
    <t>After making changes, click on Run Experiment.</t>
  </si>
  <si>
    <t>&gt;16</t>
  </si>
  <si>
    <t xml:space="preserve">In 'One Trial', the frequency table shows how customer wait time is distributed from customer to customer.  In 'Experiment', it shows how average wait time (over 100 customers) is distributed from trial to trial.
The histogram (a customized bar chart) shows the same information graphically.  In the example to left, the first bin is all values &lt;= 0, the second bin is all values &gt; 0 but &lt;= 2, and so on.  To capture any outliers, make the last bin greater than the upper limit of the next to last bin.  Here, it's &gt;16.
</t>
  </si>
  <si>
    <r>
      <t xml:space="preserve">To create a Frequency Table, use Excel's </t>
    </r>
    <r>
      <rPr>
        <b/>
        <sz val="10"/>
        <rFont val="Arial"/>
        <family val="2"/>
      </rPr>
      <t>FREQUENCY</t>
    </r>
    <r>
      <rPr>
        <sz val="10"/>
        <rFont val="Arial"/>
      </rPr>
      <t xml:space="preserve"> function and an array formula.  Use Excel's Help system to learn more.  In brief, first type the values in the bin column, next highlight the frequency cells, then type the formula:
    =FREQUENCY( range for data,   range for bins)
Finally, use </t>
    </r>
    <r>
      <rPr>
        <b/>
        <sz val="10"/>
        <rFont val="Arial"/>
        <family val="2"/>
      </rPr>
      <t>Ctrl + Shift + Enter</t>
    </r>
    <r>
      <rPr>
        <sz val="10"/>
        <rFont val="Arial"/>
      </rPr>
      <t xml:space="preserve"> to create an </t>
    </r>
    <r>
      <rPr>
        <b/>
        <sz val="10"/>
        <rFont val="Arial"/>
        <family val="2"/>
      </rPr>
      <t>array formula</t>
    </r>
    <r>
      <rPr>
        <sz val="10"/>
        <rFont val="Arial"/>
      </rPr>
      <t>.  
See the 'One Trial' or 'Experiment' worksheet for an example.
(An array formula has input from one or more ranges of cells, and output to a range.  To delete an array formula, you must highlight all cells in the array and delete.  You cannot delete just part of it.)</t>
    </r>
  </si>
  <si>
    <t>You may change any of the values with a green background to create a single-server queue with different interarrival or service times, or to adjust the bin limits for the frequency tables.</t>
  </si>
  <si>
    <t>You may change the Example by changing any of the values with a green background.</t>
  </si>
  <si>
    <t>In the frequency table and histogram, the bin value is the upper limit of an interval.</t>
  </si>
  <si>
    <t>Bin 0.5 is all values greater than 0 and less than or equal to 0.5.</t>
  </si>
  <si>
    <t>Bin 0 is all values 0 or smaller.</t>
  </si>
  <si>
    <r>
      <t xml:space="preserve">For time between arrivals, the model uses the function </t>
    </r>
    <r>
      <rPr>
        <b/>
        <sz val="10"/>
        <rFont val="Arial"/>
        <family val="2"/>
      </rPr>
      <t>DiscreteUniform(low,high),</t>
    </r>
    <r>
      <rPr>
        <sz val="10"/>
        <rFont val="Arial"/>
      </rPr>
      <t xml:space="preserve"> written in Visual Basic and supplied in this workbook.  It returns an integer value in a given range, each with the same probability.  See cells </t>
    </r>
    <r>
      <rPr>
        <b/>
        <sz val="10"/>
        <rFont val="Arial"/>
        <family val="2"/>
      </rPr>
      <t>C20</t>
    </r>
    <r>
      <rPr>
        <sz val="10"/>
        <rFont val="Arial"/>
      </rPr>
      <t>, C21, C22, ... for how it's used in the model.
For example, the formula "=</t>
    </r>
    <r>
      <rPr>
        <b/>
        <sz val="10"/>
        <rFont val="Arial"/>
        <family val="2"/>
      </rPr>
      <t>DiscreteUniform(1, 8)</t>
    </r>
    <r>
      <rPr>
        <sz val="10"/>
        <rFont val="Arial"/>
      </rPr>
      <t>" returns a random integer between 1 and 8.</t>
    </r>
  </si>
  <si>
    <r>
      <t xml:space="preserve">For service times, the model uses the VB function </t>
    </r>
    <r>
      <rPr>
        <b/>
        <sz val="10"/>
        <rFont val="Arial"/>
        <family val="2"/>
      </rPr>
      <t>"Discrete"</t>
    </r>
    <r>
      <rPr>
        <sz val="10"/>
        <rFont val="Arial"/>
      </rPr>
      <t xml:space="preserve"> supplied in this workbook.  To see an example, look at the formula in cell E19.  To see the Visual Basic code, enter alt+F11 or click Tools/Macro/Visual Basic Editor on the menu.  </t>
    </r>
    <r>
      <rPr>
        <b/>
        <sz val="10"/>
        <rFont val="Arial"/>
        <family val="2"/>
      </rPr>
      <t>Discrete</t>
    </r>
    <r>
      <rPr>
        <sz val="10"/>
        <rFont val="Arial"/>
      </rPr>
      <t xml:space="preserve"> returns one of the values in the range defined by the 2nd parameter;  it does not interpolate between values.
How to use it:     </t>
    </r>
    <r>
      <rPr>
        <b/>
        <sz val="10"/>
        <rFont val="Arial"/>
        <family val="2"/>
      </rPr>
      <t>Discrete</t>
    </r>
    <r>
      <rPr>
        <sz val="10"/>
        <rFont val="Arial"/>
      </rPr>
      <t>(Range for Cumul Prob,  Range for Service Times)</t>
    </r>
  </si>
  <si>
    <r>
      <t xml:space="preserve">Here's how the </t>
    </r>
    <r>
      <rPr>
        <b/>
        <sz val="10"/>
        <rFont val="Arial"/>
        <family val="2"/>
      </rPr>
      <t>buttons</t>
    </r>
    <r>
      <rPr>
        <sz val="10"/>
        <rFont val="Arial"/>
      </rPr>
      <t xml:space="preserve"> work:
On both the 'One Trial' and 'Experiment' worksheets, the "</t>
    </r>
    <r>
      <rPr>
        <b/>
        <sz val="10"/>
        <rFont val="Arial"/>
        <family val="2"/>
      </rPr>
      <t>Reset Seed</t>
    </r>
    <r>
      <rPr>
        <sz val="10"/>
        <rFont val="Arial"/>
      </rPr>
      <t>" button sets the so-called seed (beginning point) for the random number generator at the given value AND runs the model once (for 'One Trial') or runs the experiment (for 'Experiment').
The "</t>
    </r>
    <r>
      <rPr>
        <b/>
        <sz val="10"/>
        <rFont val="Arial"/>
        <family val="2"/>
      </rPr>
      <t>Generate New Trial</t>
    </r>
    <r>
      <rPr>
        <sz val="10"/>
        <rFont val="Arial"/>
      </rPr>
      <t>" button (on 'One Trial') runs the model once, using new random numbers starting at the random stream's current position.  It does NOT start at the displayed seed value, but rather continues along the random stream from the final position of the previous run.
The "</t>
    </r>
    <r>
      <rPr>
        <b/>
        <sz val="10"/>
        <rFont val="Arial"/>
        <family val="2"/>
      </rPr>
      <t>Run Experiment</t>
    </r>
    <r>
      <rPr>
        <sz val="10"/>
        <rFont val="Arial"/>
      </rPr>
      <t>" button runs the experiment, meaning that the model is run a number of times as requested in cell Experiment!C3 (Number of Trials).  After each run of the model, the model output, or performance value, in cell D6 (or rather, given by the formula in cell D6) is transferred to the Results Table starting at cell B11</t>
    </r>
  </si>
  <si>
    <r>
      <t>Warning:</t>
    </r>
    <r>
      <rPr>
        <sz val="10"/>
        <rFont val="Arial"/>
      </rPr>
      <t xml:space="preserve">  If you add a new formula to one of the worksheets, such as a formula to calculate a new result (sum or average, for example, of a column), you may not be able to reproduce the results in the textbook.  This is just the way that Excel works.  Based on the current formulas and their inter-dependencies, Excel decides how to compute the worksheet.  In some cases, Excel computes some cells more than once.  Since some cells use random numbers, your results may differ from those printed in the textbook.  Assuming you did not make any logical errors, these new results are just as valid statistically as any others.</t>
    </r>
  </si>
  <si>
    <r>
      <t>Caution:</t>
    </r>
    <r>
      <rPr>
        <sz val="10"/>
        <rFont val="Arial"/>
      </rPr>
      <t xml:space="preserve">  Excel's automatic calculation has been turned off.  (See the Tools/Options menu item, the Calculation tab, which should have "Manual" selected.)  The reasons is that with random functions, the worksheet is volatile, meaning that any change you make causes the worksheet to recalculate with new random numbers.
To update a worksheet after you make a change, click on one of the buttons.
When you close this workbook, or switch to another one, calculation should be set back to its previous setting (presumably, automatic).  But if it isn't, check the Tools\Options menu item, the Calculation tab, and set it as desired.</t>
    </r>
  </si>
  <si>
    <t>Step</t>
  </si>
  <si>
    <t>Activity</t>
  </si>
  <si>
    <t>Output</t>
  </si>
  <si>
    <t>TOTALS</t>
  </si>
  <si>
    <t>AVERAGES</t>
  </si>
  <si>
    <t>Example 2.5:  Single-Channel Queue</t>
  </si>
  <si>
    <t>Simulation Table</t>
  </si>
  <si>
    <t>Response Table</t>
  </si>
  <si>
    <t>Multi-Trial Summary</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</si>
</sst>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name val="Arial"/>
    </font>
    <font>
      <b/>
      <sz val="10"/>
      <name val="Arial"/>
      <family val="2"/>
    </font>
    <font>
      <b/>
      <sz val="12"/>
      <name val="Arial"/>
      <family val="2"/>
    </font>
    <font>
      <b/>
      <sz val="14"/>
      <name val="Arial"/>
      <family val="2"/>
    </font>
    <font>
      <sz val="10"/>
      <name val="Arial"/>
      <family val="2"/>
    </font>
    <font>
      <b/>
      <sz val="11"/>
      <name val="Arial"/>
      <family val="2"/>
    </font>
    <font>
      <sz val="11"/>
      <name val="Arial"/>
      <family val="2"/>
    </font>
  </fonts>
  <fills count="7">
    <fill>
      <patternFill patternType="none"/>
    </fill>
    <fill>
      <patternFill patternType="gray125"/>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52"/>
        <bgColor indexed="64"/>
      </patternFill>
    </fill>
    <fill>
      <patternFill patternType="solid">
        <fgColor indexed="13"/>
        <bgColor indexed="64"/>
      </patternFill>
    </fill>
  </fills>
  <borders count="33">
    <border>
      <left/>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4">
    <xf numFmtId="0" fontId="0" fillId="0" borderId="0" xfId="0"/>
    <xf numFmtId="0" fontId="1" fillId="0" borderId="0" xfId="0" applyFont="1" applyAlignment="1">
      <alignment horizontal="center"/>
    </xf>
    <xf numFmtId="0" fontId="0" fillId="0" borderId="0" xfId="0" applyAlignment="1">
      <alignment horizontal="center"/>
    </xf>
    <xf numFmtId="0" fontId="0" fillId="0" borderId="0" xfId="0"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0" xfId="0" applyFont="1" applyAlignment="1">
      <alignment horizontal="left"/>
    </xf>
    <xf numFmtId="2" fontId="0" fillId="0" borderId="0" xfId="0" applyNumberFormat="1" applyAlignment="1">
      <alignment horizontal="center"/>
    </xf>
    <xf numFmtId="0" fontId="1" fillId="2" borderId="0" xfId="0" applyFont="1" applyFill="1" applyAlignment="1">
      <alignment horizontal="center"/>
    </xf>
    <xf numFmtId="2" fontId="0" fillId="0" borderId="0" xfId="0" applyNumberFormat="1"/>
    <xf numFmtId="2" fontId="0" fillId="0" borderId="0" xfId="0" applyNumberFormat="1" applyBorder="1" applyAlignment="1">
      <alignment horizontal="center"/>
    </xf>
    <xf numFmtId="0" fontId="1" fillId="0" borderId="3" xfId="0" applyFont="1" applyBorder="1" applyAlignment="1">
      <alignment horizontal="center"/>
    </xf>
    <xf numFmtId="1" fontId="0" fillId="0" borderId="0" xfId="0" applyNumberFormat="1" applyAlignment="1">
      <alignment horizontal="center"/>
    </xf>
    <xf numFmtId="1" fontId="0" fillId="0" borderId="0" xfId="0" applyNumberFormat="1"/>
    <xf numFmtId="2" fontId="1" fillId="2" borderId="0" xfId="0" applyNumberFormat="1" applyFont="1" applyFill="1" applyAlignment="1">
      <alignment horizontal="center"/>
    </xf>
    <xf numFmtId="0" fontId="0" fillId="0" borderId="4" xfId="0" applyBorder="1" applyAlignment="1">
      <alignment horizontal="center"/>
    </xf>
    <xf numFmtId="0" fontId="0" fillId="0" borderId="5" xfId="0" applyBorder="1" applyAlignment="1">
      <alignment horizontal="center"/>
    </xf>
    <xf numFmtId="0" fontId="3" fillId="0" borderId="0" xfId="0" applyFont="1" applyAlignment="1">
      <alignment horizontal="center"/>
    </xf>
    <xf numFmtId="0" fontId="2" fillId="0" borderId="0" xfId="0" applyFont="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1" fillId="0" borderId="9" xfId="0" applyFont="1" applyBorder="1" applyAlignment="1">
      <alignment horizontal="right"/>
    </xf>
    <xf numFmtId="0" fontId="1" fillId="0" borderId="8" xfId="0" applyFont="1" applyBorder="1" applyAlignment="1">
      <alignment horizontal="right"/>
    </xf>
    <xf numFmtId="0" fontId="4" fillId="0" borderId="0" xfId="0" applyFont="1" applyAlignment="1">
      <alignment horizontal="left"/>
    </xf>
    <xf numFmtId="0" fontId="0" fillId="0" borderId="10" xfId="0" applyBorder="1"/>
    <xf numFmtId="0" fontId="0" fillId="0" borderId="1" xfId="0" applyBorder="1"/>
    <xf numFmtId="0" fontId="0" fillId="0" borderId="0" xfId="0" applyBorder="1"/>
    <xf numFmtId="0" fontId="1" fillId="0" borderId="0" xfId="0" applyFont="1" applyBorder="1" applyAlignment="1">
      <alignment horizontal="right"/>
    </xf>
    <xf numFmtId="0" fontId="0" fillId="4" borderId="4" xfId="0" applyFill="1" applyBorder="1" applyAlignment="1">
      <alignment horizontal="center"/>
    </xf>
    <xf numFmtId="0" fontId="0" fillId="4" borderId="5" xfId="0" applyFill="1" applyBorder="1" applyAlignment="1">
      <alignment horizontal="center"/>
    </xf>
    <xf numFmtId="0" fontId="0" fillId="4" borderId="8" xfId="0" applyFill="1" applyBorder="1" applyAlignment="1">
      <alignment horizontal="center"/>
    </xf>
    <xf numFmtId="0" fontId="0" fillId="4" borderId="11" xfId="0" applyFill="1" applyBorder="1" applyAlignment="1">
      <alignment horizontal="center"/>
    </xf>
    <xf numFmtId="0" fontId="0" fillId="0" borderId="12" xfId="0" applyFill="1" applyBorder="1" applyAlignment="1">
      <alignment horizontal="center"/>
    </xf>
    <xf numFmtId="0" fontId="1" fillId="0" borderId="2" xfId="0" applyFont="1" applyBorder="1" applyAlignment="1">
      <alignment horizontal="right"/>
    </xf>
    <xf numFmtId="0" fontId="1" fillId="4" borderId="0" xfId="0" applyFont="1" applyFill="1" applyAlignment="1">
      <alignment horizontal="center"/>
    </xf>
    <xf numFmtId="0" fontId="4" fillId="0" borderId="1" xfId="0" applyFont="1" applyBorder="1" applyAlignment="1">
      <alignment horizontal="center"/>
    </xf>
    <xf numFmtId="2" fontId="4" fillId="0" borderId="1" xfId="0" applyNumberFormat="1" applyFont="1" applyBorder="1" applyAlignment="1">
      <alignment horizontal="center"/>
    </xf>
    <xf numFmtId="2" fontId="4" fillId="0" borderId="12" xfId="0" applyNumberFormat="1" applyFont="1" applyBorder="1" applyAlignment="1">
      <alignment horizontal="center"/>
    </xf>
    <xf numFmtId="0" fontId="4" fillId="0" borderId="3" xfId="0" applyFont="1" applyBorder="1" applyAlignment="1">
      <alignment horizontal="center"/>
    </xf>
    <xf numFmtId="2" fontId="4" fillId="0" borderId="5" xfId="0" applyNumberFormat="1" applyFont="1" applyBorder="1" applyAlignment="1">
      <alignment horizontal="center"/>
    </xf>
    <xf numFmtId="0" fontId="1" fillId="0" borderId="9" xfId="0" applyFont="1" applyBorder="1" applyAlignment="1">
      <alignment horizontal="center"/>
    </xf>
    <xf numFmtId="0" fontId="0" fillId="4" borderId="13" xfId="0" applyFill="1" applyBorder="1" applyAlignment="1">
      <alignment horizontal="center"/>
    </xf>
    <xf numFmtId="2" fontId="0" fillId="4" borderId="14" xfId="0" applyNumberFormat="1" applyFill="1" applyBorder="1" applyAlignment="1">
      <alignment horizontal="center"/>
    </xf>
    <xf numFmtId="2" fontId="0" fillId="0" borderId="15" xfId="0" applyNumberFormat="1" applyBorder="1" applyAlignment="1">
      <alignment horizontal="center"/>
    </xf>
    <xf numFmtId="0" fontId="0" fillId="4" borderId="16" xfId="0" applyFill="1" applyBorder="1" applyAlignment="1">
      <alignment horizontal="center"/>
    </xf>
    <xf numFmtId="2" fontId="0" fillId="4" borderId="17" xfId="0" applyNumberFormat="1" applyFill="1" applyBorder="1" applyAlignment="1">
      <alignment horizontal="center"/>
    </xf>
    <xf numFmtId="2" fontId="0" fillId="0" borderId="18" xfId="0" applyNumberFormat="1" applyBorder="1" applyAlignment="1">
      <alignment horizontal="center"/>
    </xf>
    <xf numFmtId="0" fontId="0" fillId="4" borderId="19" xfId="0" applyFill="1" applyBorder="1" applyAlignment="1">
      <alignment horizontal="center"/>
    </xf>
    <xf numFmtId="2" fontId="0" fillId="4" borderId="20" xfId="0" applyNumberFormat="1" applyFill="1" applyBorder="1" applyAlignment="1">
      <alignment horizontal="center"/>
    </xf>
    <xf numFmtId="2" fontId="0" fillId="0" borderId="21" xfId="0" applyNumberFormat="1" applyBorder="1" applyAlignment="1">
      <alignment horizontal="center"/>
    </xf>
    <xf numFmtId="0" fontId="0" fillId="0" borderId="3" xfId="0" applyBorder="1" applyAlignment="1">
      <alignment horizontal="left"/>
    </xf>
    <xf numFmtId="0" fontId="1" fillId="5" borderId="5" xfId="0" applyFont="1" applyFill="1" applyBorder="1" applyAlignment="1">
      <alignment horizontal="center" wrapText="1"/>
    </xf>
    <xf numFmtId="0" fontId="1" fillId="0" borderId="5" xfId="0" applyFont="1" applyBorder="1" applyAlignment="1">
      <alignment horizontal="center"/>
    </xf>
    <xf numFmtId="0" fontId="0" fillId="0" borderId="8" xfId="0" applyBorder="1"/>
    <xf numFmtId="0" fontId="0" fillId="0" borderId="4" xfId="0" applyBorder="1"/>
    <xf numFmtId="2" fontId="0" fillId="0" borderId="4" xfId="0" applyNumberFormat="1" applyBorder="1" applyAlignment="1">
      <alignment horizontal="center"/>
    </xf>
    <xf numFmtId="2" fontId="0" fillId="0" borderId="5" xfId="0" applyNumberFormat="1" applyBorder="1" applyAlignment="1">
      <alignment horizontal="center"/>
    </xf>
    <xf numFmtId="0" fontId="0" fillId="4" borderId="2" xfId="0" applyFill="1" applyBorder="1" applyAlignment="1">
      <alignment horizontal="center"/>
    </xf>
    <xf numFmtId="0" fontId="0" fillId="0" borderId="3" xfId="0" applyBorder="1" applyAlignment="1">
      <alignment horizontal="center"/>
    </xf>
    <xf numFmtId="0" fontId="0" fillId="0" borderId="9" xfId="0" applyFill="1" applyBorder="1" applyAlignment="1">
      <alignment horizontal="center"/>
    </xf>
    <xf numFmtId="0" fontId="1" fillId="0" borderId="2" xfId="0" applyFont="1" applyBorder="1" applyAlignment="1">
      <alignment horizontal="right"/>
    </xf>
    <xf numFmtId="0" fontId="1" fillId="0" borderId="1" xfId="0" applyFont="1" applyBorder="1" applyAlignment="1">
      <alignment horizontal="right"/>
    </xf>
    <xf numFmtId="0" fontId="1" fillId="0" borderId="2"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 xfId="0" applyFont="1" applyBorder="1" applyAlignment="1">
      <alignment horizontal="center" wrapText="1"/>
    </xf>
    <xf numFmtId="0" fontId="1" fillId="0" borderId="0" xfId="0" applyFont="1" applyBorder="1" applyAlignment="1">
      <alignment horizontal="center" wrapText="1"/>
    </xf>
    <xf numFmtId="0" fontId="1" fillId="0" borderId="12" xfId="0" applyFont="1" applyBorder="1" applyAlignment="1">
      <alignment horizontal="center" wrapText="1"/>
    </xf>
    <xf numFmtId="0" fontId="1" fillId="0" borderId="24" xfId="0" applyFont="1" applyBorder="1" applyAlignment="1">
      <alignment horizontal="center"/>
    </xf>
    <xf numFmtId="0" fontId="1" fillId="0" borderId="25" xfId="0" applyFont="1" applyBorder="1" applyAlignment="1">
      <alignment horizontal="center"/>
    </xf>
    <xf numFmtId="0" fontId="1" fillId="0" borderId="32" xfId="0" applyFont="1" applyBorder="1" applyAlignment="1">
      <alignment horizontal="center"/>
    </xf>
    <xf numFmtId="0" fontId="5" fillId="0" borderId="0" xfId="0" applyFont="1" applyAlignment="1">
      <alignment horizontal="center"/>
    </xf>
    <xf numFmtId="0" fontId="3" fillId="0" borderId="0" xfId="0" applyFont="1" applyAlignment="1">
      <alignment horizontal="center"/>
    </xf>
    <xf numFmtId="0" fontId="1" fillId="0" borderId="26"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9" xfId="0" applyFont="1" applyBorder="1" applyAlignment="1">
      <alignment horizontal="center" wrapText="1"/>
    </xf>
    <xf numFmtId="0" fontId="1" fillId="0" borderId="5" xfId="0" applyFont="1" applyBorder="1" applyAlignment="1">
      <alignment horizont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6" fillId="4" borderId="2"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8" xfId="0" applyFont="1" applyFill="1" applyBorder="1" applyAlignment="1">
      <alignment horizontal="left" vertical="center" wrapText="1"/>
    </xf>
    <xf numFmtId="0" fontId="6" fillId="4" borderId="0" xfId="0" applyFont="1" applyFill="1" applyBorder="1" applyAlignment="1">
      <alignment horizontal="left" vertical="center" wrapText="1"/>
    </xf>
    <xf numFmtId="0" fontId="6" fillId="4" borderId="4" xfId="0" applyFont="1" applyFill="1" applyBorder="1" applyAlignment="1">
      <alignment horizontal="left" vertical="center" wrapText="1"/>
    </xf>
    <xf numFmtId="0" fontId="6" fillId="4" borderId="9" xfId="0" applyFont="1" applyFill="1" applyBorder="1" applyAlignment="1">
      <alignment horizontal="left" vertical="center" wrapText="1"/>
    </xf>
    <xf numFmtId="0" fontId="6" fillId="4" borderId="12" xfId="0" applyFont="1" applyFill="1" applyBorder="1" applyAlignment="1">
      <alignment horizontal="left" vertical="center" wrapText="1"/>
    </xf>
    <xf numFmtId="0" fontId="6" fillId="4" borderId="5" xfId="0" applyFont="1" applyFill="1" applyBorder="1" applyAlignment="1">
      <alignment horizontal="left" vertical="center" wrapText="1"/>
    </xf>
    <xf numFmtId="0" fontId="1" fillId="0" borderId="4" xfId="0" applyFont="1" applyBorder="1" applyAlignment="1">
      <alignment horizontal="center" wrapText="1"/>
    </xf>
    <xf numFmtId="0" fontId="1" fillId="0" borderId="24" xfId="0" applyFont="1" applyBorder="1" applyAlignment="1">
      <alignment horizontal="right"/>
    </xf>
    <xf numFmtId="0" fontId="1" fillId="0" borderId="25" xfId="0" applyFont="1" applyBorder="1" applyAlignment="1">
      <alignment horizontal="right"/>
    </xf>
    <xf numFmtId="0" fontId="3" fillId="0" borderId="0" xfId="0" applyFont="1" applyAlignment="1">
      <alignment horizontal="left"/>
    </xf>
    <xf numFmtId="0" fontId="1" fillId="0" borderId="0" xfId="0" applyFont="1" applyAlignment="1">
      <alignment horizontal="left"/>
    </xf>
    <xf numFmtId="0" fontId="0" fillId="2" borderId="0" xfId="0" applyFill="1" applyAlignment="1">
      <alignment horizontal="center"/>
    </xf>
    <xf numFmtId="0" fontId="0" fillId="4" borderId="0" xfId="0" applyFill="1" applyAlignment="1">
      <alignment horizontal="center"/>
    </xf>
    <xf numFmtId="0" fontId="1" fillId="5" borderId="0" xfId="0" applyFont="1" applyFill="1" applyAlignment="1">
      <alignment horizontal="left"/>
    </xf>
    <xf numFmtId="0" fontId="0" fillId="5" borderId="0" xfId="0" applyFill="1" applyAlignment="1">
      <alignment horizontal="center"/>
    </xf>
    <xf numFmtId="0" fontId="0" fillId="0" borderId="2" xfId="0" applyBorder="1" applyAlignment="1">
      <alignment horizontal="left" vertical="center" wrapText="1"/>
    </xf>
    <xf numFmtId="0" fontId="0" fillId="0" borderId="1" xfId="0" applyBorder="1" applyAlignment="1">
      <alignment horizontal="left" vertical="center" wrapText="1"/>
    </xf>
    <xf numFmtId="0" fontId="0" fillId="0" borderId="3" xfId="0" applyBorder="1" applyAlignment="1">
      <alignment horizontal="left" vertical="center" wrapText="1"/>
    </xf>
    <xf numFmtId="0" fontId="0" fillId="0" borderId="8" xfId="0" applyBorder="1" applyAlignment="1">
      <alignment horizontal="left" vertical="center" wrapText="1"/>
    </xf>
    <xf numFmtId="0" fontId="0" fillId="0" borderId="0" xfId="0" applyBorder="1" applyAlignment="1">
      <alignment horizontal="left" vertical="center" wrapText="1"/>
    </xf>
    <xf numFmtId="0" fontId="0" fillId="0" borderId="4" xfId="0" applyBorder="1" applyAlignment="1">
      <alignment horizontal="left" vertical="center" wrapText="1"/>
    </xf>
    <xf numFmtId="0" fontId="0" fillId="0" borderId="9" xfId="0" applyBorder="1" applyAlignment="1">
      <alignment horizontal="left" vertical="center" wrapText="1"/>
    </xf>
    <xf numFmtId="0" fontId="0" fillId="0" borderId="12" xfId="0" applyBorder="1" applyAlignment="1">
      <alignment horizontal="left" vertical="center" wrapText="1"/>
    </xf>
    <xf numFmtId="0" fontId="0" fillId="0" borderId="5" xfId="0" applyBorder="1" applyAlignment="1">
      <alignment horizontal="left" vertical="center" wrapText="1"/>
    </xf>
    <xf numFmtId="0" fontId="4" fillId="3" borderId="2" xfId="0" applyFont="1" applyFill="1" applyBorder="1" applyAlignment="1">
      <alignment horizontal="left" vertical="center" wrapText="1"/>
    </xf>
    <xf numFmtId="0" fontId="4" fillId="3" borderId="1"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8"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4" xfId="0" applyFont="1" applyFill="1" applyBorder="1" applyAlignment="1">
      <alignment horizontal="left" vertical="center" wrapText="1"/>
    </xf>
    <xf numFmtId="0" fontId="4" fillId="3" borderId="9" xfId="0" applyFont="1" applyFill="1" applyBorder="1" applyAlignment="1">
      <alignment horizontal="left" vertical="center" wrapText="1"/>
    </xf>
    <xf numFmtId="0" fontId="4" fillId="3" borderId="12" xfId="0" applyFont="1" applyFill="1" applyBorder="1" applyAlignment="1">
      <alignment horizontal="left" vertical="center" wrapText="1"/>
    </xf>
    <xf numFmtId="0" fontId="4" fillId="3" borderId="5" xfId="0" applyFont="1" applyFill="1" applyBorder="1" applyAlignment="1">
      <alignment horizontal="left" vertical="center" wrapText="1"/>
    </xf>
    <xf numFmtId="0" fontId="1" fillId="6" borderId="2" xfId="0" applyFont="1" applyFill="1" applyBorder="1" applyAlignment="1">
      <alignment horizontal="left" vertical="center" wrapText="1"/>
    </xf>
    <xf numFmtId="0" fontId="1" fillId="6" borderId="1" xfId="0" applyFont="1" applyFill="1" applyBorder="1" applyAlignment="1">
      <alignment horizontal="left" vertical="center" wrapText="1"/>
    </xf>
    <xf numFmtId="0" fontId="1" fillId="6" borderId="3" xfId="0" applyFont="1" applyFill="1" applyBorder="1" applyAlignment="1">
      <alignment horizontal="left" vertical="center" wrapText="1"/>
    </xf>
    <xf numFmtId="0" fontId="1" fillId="6" borderId="8" xfId="0" applyFont="1" applyFill="1" applyBorder="1" applyAlignment="1">
      <alignment horizontal="left" vertical="center" wrapText="1"/>
    </xf>
    <xf numFmtId="0" fontId="1" fillId="6" borderId="0" xfId="0" applyFont="1" applyFill="1" applyBorder="1" applyAlignment="1">
      <alignment horizontal="left" vertical="center" wrapText="1"/>
    </xf>
    <xf numFmtId="0" fontId="1" fillId="6" borderId="4" xfId="0" applyFont="1" applyFill="1" applyBorder="1" applyAlignment="1">
      <alignment horizontal="left" vertical="center" wrapText="1"/>
    </xf>
    <xf numFmtId="0" fontId="1" fillId="6" borderId="9" xfId="0" applyFont="1" applyFill="1" applyBorder="1" applyAlignment="1">
      <alignment horizontal="left" vertical="center" wrapText="1"/>
    </xf>
    <xf numFmtId="0" fontId="1" fillId="6" borderId="12" xfId="0" applyFont="1" applyFill="1" applyBorder="1" applyAlignment="1">
      <alignment horizontal="left" vertical="center" wrapText="1"/>
    </xf>
    <xf numFmtId="0" fontId="1" fillId="6" borderId="5" xfId="0" applyFont="1" applyFill="1" applyBorder="1" applyAlignment="1">
      <alignment horizontal="left" vertical="center" wrapText="1"/>
    </xf>
    <xf numFmtId="0" fontId="0" fillId="6" borderId="1" xfId="0" applyFill="1" applyBorder="1" applyAlignment="1">
      <alignment horizontal="left" vertical="center" wrapText="1"/>
    </xf>
    <xf numFmtId="0" fontId="0" fillId="6" borderId="3" xfId="0" applyFill="1" applyBorder="1" applyAlignment="1">
      <alignment horizontal="left" vertical="center" wrapText="1"/>
    </xf>
    <xf numFmtId="0" fontId="0" fillId="6" borderId="8" xfId="0" applyFill="1" applyBorder="1" applyAlignment="1">
      <alignment horizontal="left" vertical="center" wrapText="1"/>
    </xf>
    <xf numFmtId="0" fontId="0" fillId="6" borderId="0" xfId="0" applyFill="1" applyBorder="1" applyAlignment="1">
      <alignment horizontal="left" vertical="center" wrapText="1"/>
    </xf>
    <xf numFmtId="0" fontId="0" fillId="6" borderId="4" xfId="0" applyFill="1" applyBorder="1" applyAlignment="1">
      <alignment horizontal="left" vertical="center" wrapText="1"/>
    </xf>
    <xf numFmtId="0" fontId="0" fillId="6" borderId="9" xfId="0" applyFill="1" applyBorder="1" applyAlignment="1">
      <alignment horizontal="left" vertical="center" wrapText="1"/>
    </xf>
    <xf numFmtId="0" fontId="0" fillId="6" borderId="12" xfId="0" applyFill="1" applyBorder="1" applyAlignment="1">
      <alignment horizontal="left" vertical="center" wrapText="1"/>
    </xf>
    <xf numFmtId="0" fontId="0" fillId="6" borderId="5" xfId="0" applyFill="1" applyBorder="1" applyAlignment="1">
      <alignment horizontal="left" vertical="center" wrapText="1"/>
    </xf>
    <xf numFmtId="0" fontId="4" fillId="0" borderId="0" xfId="0" applyFont="1"/>
    <xf numFmtId="0" fontId="0" fillId="0" borderId="0" xfId="0" applyAlignment="1">
      <alignment wrapText="1"/>
    </xf>
  </cellXfs>
  <cellStyles count="1">
    <cellStyle name="Normal" xfId="0" builtinId="0"/>
  </cellStyles>
  <dxfs count="1">
    <dxf>
      <font>
        <b val="0"/>
        <i val="0"/>
        <strike val="0"/>
        <condense val="0"/>
        <extend val="0"/>
        <color indexed="12"/>
      </font>
      <fill>
        <patternFill>
          <bgColor indexed="13"/>
        </patternFill>
      </fill>
      <border>
        <left style="hair">
          <color indexed="64"/>
        </left>
        <right style="hair">
          <color indexed="64"/>
        </right>
        <top style="hair">
          <color indexed="64"/>
        </top>
        <bottom style="hair">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Frequency of Individual Customer Waiting Time in Queue</a:t>
            </a:r>
          </a:p>
        </c:rich>
      </c:tx>
      <c:layout>
        <c:manualLayout>
          <c:xMode val="edge"/>
          <c:yMode val="edge"/>
          <c:x val="0.1271189947447551"/>
          <c:y val="3.7593984962406013E-2"/>
        </c:manualLayout>
      </c:layout>
      <c:overlay val="0"/>
      <c:spPr>
        <a:noFill/>
        <a:ln w="25400">
          <a:noFill/>
        </a:ln>
      </c:spPr>
    </c:title>
    <c:autoTitleDeleted val="0"/>
    <c:plotArea>
      <c:layout>
        <c:manualLayout>
          <c:layoutTarget val="inner"/>
          <c:xMode val="edge"/>
          <c:yMode val="edge"/>
          <c:x val="0.2005655250417247"/>
          <c:y val="0.26691729323308272"/>
          <c:w val="0.76271396846853057"/>
          <c:h val="0.51127819548872178"/>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'One Trial'!$K$6:$K$15</c:f>
              <c:strCache>
                <c:ptCount val="10"/>
                <c:pt idx="0">
                  <c:v>0</c:v>
                </c:pt>
                <c:pt idx="1">
                  <c:v>2</c:v>
                </c:pt>
                <c:pt idx="2">
                  <c:v>4</c:v>
                </c:pt>
                <c:pt idx="3">
                  <c:v>6</c:v>
                </c:pt>
                <c:pt idx="4">
                  <c:v>8</c:v>
                </c:pt>
                <c:pt idx="5">
                  <c:v>10</c:v>
                </c:pt>
                <c:pt idx="6">
                  <c:v>12</c:v>
                </c:pt>
                <c:pt idx="7">
                  <c:v>14</c:v>
                </c:pt>
                <c:pt idx="8">
                  <c:v>16</c:v>
                </c:pt>
                <c:pt idx="9">
                  <c:v>&gt;16</c:v>
                </c:pt>
              </c:strCache>
            </c:strRef>
          </c:cat>
          <c:val>
            <c:numRef>
              <c:f>'One Trial'!$L$6:$L$15</c:f>
              <c:numCache>
                <c:formatCode>General</c:formatCode>
                <c:ptCount val="10"/>
                <c:pt idx="0">
                  <c:v>7</c:v>
                </c:pt>
                <c:pt idx="1">
                  <c:v>0</c:v>
                </c:pt>
                <c:pt idx="2">
                  <c:v>0</c:v>
                </c:pt>
                <c:pt idx="3">
                  <c:v>0</c:v>
                </c:pt>
                <c:pt idx="4">
                  <c:v>1</c:v>
                </c:pt>
                <c:pt idx="5">
                  <c:v>0</c:v>
                </c:pt>
                <c:pt idx="6">
                  <c:v>0</c:v>
                </c:pt>
                <c:pt idx="7">
                  <c:v>0</c:v>
                </c:pt>
                <c:pt idx="8">
                  <c:v>1</c:v>
                </c:pt>
                <c:pt idx="9">
                  <c:v>1</c:v>
                </c:pt>
              </c:numCache>
            </c:numRef>
          </c:val>
        </c:ser>
        <c:dLbls>
          <c:showLegendKey val="0"/>
          <c:showVal val="1"/>
          <c:showCatName val="0"/>
          <c:showSerName val="0"/>
          <c:showPercent val="0"/>
          <c:showBubbleSize val="0"/>
        </c:dLbls>
        <c:gapWidth val="0"/>
        <c:axId val="513633464"/>
        <c:axId val="513635424"/>
      </c:barChart>
      <c:catAx>
        <c:axId val="5136334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Upper limit of bin</a:t>
                </a:r>
              </a:p>
            </c:rich>
          </c:tx>
          <c:layout>
            <c:manualLayout>
              <c:xMode val="edge"/>
              <c:yMode val="edge"/>
              <c:x val="0.35875805183519771"/>
              <c:y val="0.8984962406015037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13635424"/>
        <c:crosses val="autoZero"/>
        <c:auto val="0"/>
        <c:lblAlgn val="ctr"/>
        <c:lblOffset val="100"/>
        <c:tickLblSkip val="1"/>
        <c:tickMarkSkip val="1"/>
        <c:noMultiLvlLbl val="0"/>
      </c:catAx>
      <c:valAx>
        <c:axId val="5136354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Occurrences</a:t>
                </a:r>
              </a:p>
            </c:rich>
          </c:tx>
          <c:layout>
            <c:manualLayout>
              <c:xMode val="edge"/>
              <c:yMode val="edge"/>
              <c:x val="3.9548131698368252E-2"/>
              <c:y val="0.36842105263157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51363346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 Histogram (Bin Frequencies) for Avg. Customer Waiting Time</a:t>
            </a:r>
          </a:p>
        </c:rich>
      </c:tx>
      <c:layout>
        <c:manualLayout>
          <c:xMode val="edge"/>
          <c:yMode val="edge"/>
          <c:x val="0.10720562390158173"/>
          <c:y val="3.1830238726790451E-2"/>
        </c:manualLayout>
      </c:layout>
      <c:overlay val="0"/>
      <c:spPr>
        <a:noFill/>
        <a:ln w="25400">
          <a:noFill/>
        </a:ln>
      </c:spPr>
    </c:title>
    <c:autoTitleDeleted val="0"/>
    <c:plotArea>
      <c:layout>
        <c:manualLayout>
          <c:layoutTarget val="inner"/>
          <c:xMode val="edge"/>
          <c:yMode val="edge"/>
          <c:x val="0.12478031634446397"/>
          <c:y val="0.22015915119363394"/>
          <c:w val="0.82073813708260102"/>
          <c:h val="0.55968169761273212"/>
        </c:manualLayout>
      </c:layout>
      <c:barChart>
        <c:barDir val="col"/>
        <c:grouping val="clustered"/>
        <c:varyColors val="0"/>
        <c:ser>
          <c:idx val="1"/>
          <c:order val="0"/>
          <c:tx>
            <c:strRef>
              <c:f>Experiment!$E$10</c:f>
              <c:strCache>
                <c:ptCount val="1"/>
                <c:pt idx="0">
                  <c:v>Frequency</c:v>
                </c:pt>
              </c:strCache>
            </c:strRef>
          </c:tx>
          <c:spPr>
            <a:solidFill>
              <a:srgbClr val="993366"/>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Experiment!$D$11:$D$21</c:f>
              <c:strCache>
                <c:ptCount val="11"/>
                <c:pt idx="0">
                  <c:v>0</c:v>
                </c:pt>
                <c:pt idx="1">
                  <c:v>0.5</c:v>
                </c:pt>
                <c:pt idx="2">
                  <c:v>1</c:v>
                </c:pt>
                <c:pt idx="3">
                  <c:v>1.5</c:v>
                </c:pt>
                <c:pt idx="4">
                  <c:v>2</c:v>
                </c:pt>
                <c:pt idx="5">
                  <c:v>2.5</c:v>
                </c:pt>
                <c:pt idx="6">
                  <c:v>3</c:v>
                </c:pt>
                <c:pt idx="7">
                  <c:v>3.5</c:v>
                </c:pt>
                <c:pt idx="8">
                  <c:v>4</c:v>
                </c:pt>
                <c:pt idx="9">
                  <c:v>4.5</c:v>
                </c:pt>
                <c:pt idx="10">
                  <c:v>&gt;4.5</c:v>
                </c:pt>
              </c:strCache>
            </c:strRef>
          </c:cat>
          <c:val>
            <c:numRef>
              <c:f>Experiment!$E$11:$E$21</c:f>
              <c:numCache>
                <c:formatCode>General</c:formatCode>
                <c:ptCount val="11"/>
                <c:pt idx="0">
                  <c:v>0</c:v>
                </c:pt>
                <c:pt idx="1">
                  <c:v>0</c:v>
                </c:pt>
                <c:pt idx="2">
                  <c:v>20</c:v>
                </c:pt>
                <c:pt idx="3">
                  <c:v>13</c:v>
                </c:pt>
                <c:pt idx="4">
                  <c:v>9</c:v>
                </c:pt>
                <c:pt idx="5">
                  <c:v>5</c:v>
                </c:pt>
                <c:pt idx="6">
                  <c:v>0</c:v>
                </c:pt>
                <c:pt idx="7">
                  <c:v>2</c:v>
                </c:pt>
                <c:pt idx="8">
                  <c:v>0</c:v>
                </c:pt>
                <c:pt idx="9">
                  <c:v>1</c:v>
                </c:pt>
                <c:pt idx="10">
                  <c:v>0</c:v>
                </c:pt>
              </c:numCache>
            </c:numRef>
          </c:val>
        </c:ser>
        <c:dLbls>
          <c:showLegendKey val="0"/>
          <c:showVal val="1"/>
          <c:showCatName val="0"/>
          <c:showSerName val="0"/>
          <c:showPercent val="0"/>
          <c:showBubbleSize val="0"/>
        </c:dLbls>
        <c:gapWidth val="0"/>
        <c:axId val="513631112"/>
        <c:axId val="513631504"/>
      </c:barChart>
      <c:catAx>
        <c:axId val="51363111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Bin</a:t>
                </a:r>
              </a:p>
            </c:rich>
          </c:tx>
          <c:layout>
            <c:manualLayout>
              <c:xMode val="edge"/>
              <c:yMode val="edge"/>
              <c:x val="0.51318101933216165"/>
              <c:y val="0.8620689655172413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13631504"/>
        <c:crosses val="autoZero"/>
        <c:auto val="1"/>
        <c:lblAlgn val="ctr"/>
        <c:lblOffset val="100"/>
        <c:tickLblSkip val="1"/>
        <c:tickMarkSkip val="1"/>
        <c:noMultiLvlLbl val="0"/>
      </c:catAx>
      <c:valAx>
        <c:axId val="513631504"/>
        <c:scaling>
          <c:orientation val="minMax"/>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Occurrences (No. of Trials)</a:t>
                </a:r>
              </a:p>
            </c:rich>
          </c:tx>
          <c:layout>
            <c:manualLayout>
              <c:xMode val="edge"/>
              <c:yMode val="edge"/>
              <c:x val="2.4604569420035149E-2"/>
              <c:y val="0.2732095490716180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51363111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10</xdr:col>
      <xdr:colOff>57150</xdr:colOff>
      <xdr:row>17</xdr:row>
      <xdr:rowOff>19050</xdr:rowOff>
    </xdr:from>
    <xdr:to>
      <xdr:col>15</xdr:col>
      <xdr:colOff>180975</xdr:colOff>
      <xdr:row>31</xdr:row>
      <xdr:rowOff>104775</xdr:rowOff>
    </xdr:to>
    <xdr:graphicFrame macro="">
      <xdr:nvGraphicFramePr>
        <xdr:cNvPr id="103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381000</xdr:colOff>
          <xdr:row>0</xdr:row>
          <xdr:rowOff>95250</xdr:rowOff>
        </xdr:from>
        <xdr:to>
          <xdr:col>11</xdr:col>
          <xdr:colOff>571500</xdr:colOff>
          <xdr:row>1</xdr:row>
          <xdr:rowOff>142875</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New Trial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11</xdr:row>
          <xdr:rowOff>152400</xdr:rowOff>
        </xdr:from>
        <xdr:to>
          <xdr:col>9</xdr:col>
          <xdr:colOff>85725</xdr:colOff>
          <xdr:row>13</xdr:row>
          <xdr:rowOff>66675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Seed &amp; 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409575</xdr:colOff>
      <xdr:row>10</xdr:row>
      <xdr:rowOff>38100</xdr:rowOff>
    </xdr:from>
    <xdr:to>
      <xdr:col>14</xdr:col>
      <xdr:colOff>342900</xdr:colOff>
      <xdr:row>32</xdr:row>
      <xdr:rowOff>47625</xdr:rowOff>
    </xdr:to>
    <xdr:graphicFrame macro="">
      <xdr:nvGraphicFramePr>
        <xdr:cNvPr id="205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447675</xdr:colOff>
          <xdr:row>1</xdr:row>
          <xdr:rowOff>142875</xdr:rowOff>
        </xdr:from>
        <xdr:to>
          <xdr:col>8</xdr:col>
          <xdr:colOff>342900</xdr:colOff>
          <xdr:row>5</xdr:row>
          <xdr:rowOff>19050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Experiment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9</xdr:row>
          <xdr:rowOff>47625</xdr:rowOff>
        </xdr:from>
        <xdr:to>
          <xdr:col>14</xdr:col>
          <xdr:colOff>276225</xdr:colOff>
          <xdr:row>9</xdr:row>
          <xdr:rowOff>285750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Seed &amp;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O94"/>
  <sheetViews>
    <sheetView tabSelected="1" workbookViewId="0">
      <pane xSplit="1" ySplit="22" topLeftCell="B29" activePane="bottomRight" state="frozen"/>
      <selection pane="topRight" activeCell="B1" sqref="B1"/>
      <selection pane="bottomLeft" activeCell="A23" sqref="A23"/>
      <selection pane="bottomRight" activeCell="E36" sqref="E36"/>
    </sheetView>
  </sheetViews>
  <sheetFormatPr defaultRowHeight="12.75" x14ac:dyDescent="0.2"/>
  <cols>
    <col min="1" max="1" width="2.140625" customWidth="1"/>
    <col min="2" max="2" width="11.140625" bestFit="1" customWidth="1"/>
    <col min="3" max="3" width="11" bestFit="1" customWidth="1"/>
    <col min="4" max="4" width="12.140625" bestFit="1" customWidth="1"/>
    <col min="6" max="6" width="7.85546875" bestFit="1" customWidth="1"/>
    <col min="7" max="7" width="13.28515625" bestFit="1" customWidth="1"/>
    <col min="8" max="8" width="8.85546875" bestFit="1" customWidth="1"/>
    <col min="9" max="9" width="19" bestFit="1" customWidth="1"/>
    <col min="10" max="10" width="11" bestFit="1" customWidth="1"/>
    <col min="12" max="12" width="11.5703125" bestFit="1" customWidth="1"/>
    <col min="13" max="13" width="9.7109375" bestFit="1" customWidth="1"/>
    <col min="14" max="14" width="9.140625" customWidth="1"/>
  </cols>
  <sheetData>
    <row r="1" spans="2:15" ht="18" x14ac:dyDescent="0.25">
      <c r="B1" s="74" t="s">
        <v>53</v>
      </c>
      <c r="C1" s="74"/>
      <c r="D1" s="74"/>
      <c r="E1" s="74"/>
      <c r="F1" s="74"/>
      <c r="G1" s="74"/>
      <c r="H1" s="74"/>
      <c r="I1" s="74"/>
      <c r="J1" s="17"/>
      <c r="K1" s="17"/>
      <c r="L1" s="17"/>
    </row>
    <row r="2" spans="2:15" ht="16.5" thickBot="1" x14ac:dyDescent="0.3">
      <c r="B2" s="73" t="s">
        <v>10</v>
      </c>
      <c r="C2" s="73"/>
      <c r="D2" s="73"/>
      <c r="E2" s="73"/>
      <c r="F2" s="73"/>
      <c r="G2" s="73"/>
      <c r="H2" s="73"/>
      <c r="I2" s="73"/>
      <c r="J2" s="18"/>
      <c r="K2" s="18"/>
      <c r="L2" s="18"/>
      <c r="N2" s="142"/>
    </row>
    <row r="3" spans="2:15" ht="12.75" customHeight="1" thickBot="1" x14ac:dyDescent="0.3">
      <c r="B3" s="18"/>
      <c r="C3" s="18"/>
      <c r="D3" s="18"/>
      <c r="E3" s="18"/>
      <c r="F3" s="18"/>
      <c r="G3" s="18"/>
      <c r="H3" s="18"/>
      <c r="I3" s="18"/>
      <c r="J3" s="18"/>
      <c r="K3" s="81" t="s">
        <v>17</v>
      </c>
      <c r="L3" s="82"/>
      <c r="N3" s="143"/>
    </row>
    <row r="4" spans="2:15" ht="13.5" customHeight="1" thickBot="1" x14ac:dyDescent="0.3">
      <c r="B4" s="75" t="s">
        <v>13</v>
      </c>
      <c r="C4" s="77" t="s">
        <v>11</v>
      </c>
      <c r="D4" s="79" t="s">
        <v>12</v>
      </c>
      <c r="E4" s="18"/>
      <c r="G4" s="85" t="s">
        <v>31</v>
      </c>
      <c r="H4" s="86"/>
      <c r="I4" s="18"/>
      <c r="J4" s="18"/>
      <c r="K4" s="83"/>
      <c r="L4" s="84"/>
    </row>
    <row r="5" spans="2:15" ht="12.75" customHeight="1" x14ac:dyDescent="0.2">
      <c r="B5" s="76"/>
      <c r="C5" s="78"/>
      <c r="D5" s="80"/>
      <c r="G5" s="87"/>
      <c r="H5" s="88"/>
      <c r="I5" s="2"/>
      <c r="K5" s="19" t="s">
        <v>3</v>
      </c>
      <c r="L5" s="20" t="s">
        <v>4</v>
      </c>
    </row>
    <row r="6" spans="2:15" ht="12.75" customHeight="1" x14ac:dyDescent="0.2">
      <c r="B6" s="76"/>
      <c r="C6" s="78"/>
      <c r="D6" s="80"/>
      <c r="G6" s="24" t="s">
        <v>8</v>
      </c>
      <c r="H6" s="30">
        <v>1</v>
      </c>
      <c r="K6" s="32">
        <v>0</v>
      </c>
      <c r="L6" s="15">
        <f t="array" ref="L6:L15">FREQUENCY(G23:G32,K6:K15)</f>
        <v>7</v>
      </c>
    </row>
    <row r="7" spans="2:15" ht="13.5" thickBot="1" x14ac:dyDescent="0.25">
      <c r="B7" s="43">
        <v>0</v>
      </c>
      <c r="C7" s="44">
        <v>0.23</v>
      </c>
      <c r="D7" s="45">
        <f>C7</f>
        <v>0.23</v>
      </c>
      <c r="G7" s="23" t="s">
        <v>9</v>
      </c>
      <c r="H7" s="31">
        <v>8</v>
      </c>
      <c r="K7" s="32">
        <v>2</v>
      </c>
      <c r="L7" s="15">
        <v>0</v>
      </c>
      <c r="O7">
        <f>(8*_xlfn.NORM.S.INV(_rnd01()))+50</f>
        <v>34.42167109889786</v>
      </c>
    </row>
    <row r="8" spans="2:15" ht="13.5" thickBot="1" x14ac:dyDescent="0.25">
      <c r="B8" s="46">
        <v>60</v>
      </c>
      <c r="C8" s="47">
        <v>0.37</v>
      </c>
      <c r="D8" s="48">
        <f>D7+C8</f>
        <v>0.6</v>
      </c>
      <c r="K8" s="32">
        <v>4</v>
      </c>
      <c r="L8" s="15">
        <v>0</v>
      </c>
    </row>
    <row r="9" spans="2:15" ht="12.75" customHeight="1" x14ac:dyDescent="0.2">
      <c r="B9" s="46">
        <v>120</v>
      </c>
      <c r="C9" s="47">
        <v>0.28000000000000003</v>
      </c>
      <c r="D9" s="48">
        <f>D8+C9</f>
        <v>0.88</v>
      </c>
      <c r="F9" s="89" t="s">
        <v>39</v>
      </c>
      <c r="G9" s="90"/>
      <c r="H9" s="90"/>
      <c r="I9" s="91"/>
      <c r="K9" s="32">
        <v>6</v>
      </c>
      <c r="L9" s="15">
        <v>0</v>
      </c>
    </row>
    <row r="10" spans="2:15" ht="12.75" customHeight="1" x14ac:dyDescent="0.2">
      <c r="B10" s="46">
        <v>180</v>
      </c>
      <c r="C10" s="47">
        <v>0.12</v>
      </c>
      <c r="D10" s="48">
        <f>D9+C10</f>
        <v>1</v>
      </c>
      <c r="F10" s="92"/>
      <c r="G10" s="93"/>
      <c r="H10" s="93"/>
      <c r="I10" s="94"/>
      <c r="K10" s="32">
        <v>8</v>
      </c>
      <c r="L10" s="15">
        <v>1</v>
      </c>
    </row>
    <row r="11" spans="2:15" ht="13.5" thickBot="1" x14ac:dyDescent="0.25">
      <c r="B11" s="46"/>
      <c r="C11" s="47">
        <v>0.1</v>
      </c>
      <c r="D11" s="48">
        <f>D10+C11</f>
        <v>1.1000000000000001</v>
      </c>
      <c r="F11" s="95"/>
      <c r="G11" s="96"/>
      <c r="H11" s="96"/>
      <c r="I11" s="97"/>
      <c r="K11" s="32">
        <v>10</v>
      </c>
      <c r="L11" s="15">
        <v>0</v>
      </c>
    </row>
    <row r="12" spans="2:15" ht="13.5" thickBot="1" x14ac:dyDescent="0.25">
      <c r="B12" s="49"/>
      <c r="C12" s="50">
        <v>0.05</v>
      </c>
      <c r="D12" s="51">
        <f>D11+C12</f>
        <v>1.1500000000000001</v>
      </c>
      <c r="H12" s="26"/>
      <c r="I12" s="27"/>
      <c r="K12" s="32">
        <v>12</v>
      </c>
      <c r="L12" s="15">
        <v>0</v>
      </c>
    </row>
    <row r="13" spans="2:15" ht="13.5" thickBot="1" x14ac:dyDescent="0.25">
      <c r="C13" s="3"/>
      <c r="D13" s="10"/>
      <c r="E13" s="99" t="s">
        <v>32</v>
      </c>
      <c r="F13" s="100"/>
      <c r="G13" s="100"/>
      <c r="H13" s="33">
        <v>12345</v>
      </c>
      <c r="I13" s="28"/>
      <c r="K13" s="32">
        <v>14</v>
      </c>
      <c r="L13" s="15">
        <v>0</v>
      </c>
    </row>
    <row r="14" spans="2:15" ht="13.5" thickBot="1" x14ac:dyDescent="0.25">
      <c r="C14" s="3"/>
      <c r="D14" s="10"/>
      <c r="E14" s="29"/>
      <c r="F14" s="29"/>
      <c r="G14" s="29"/>
      <c r="I14" s="28"/>
      <c r="K14" s="32">
        <v>16</v>
      </c>
      <c r="L14" s="15">
        <v>1</v>
      </c>
    </row>
    <row r="15" spans="2:15" ht="15" customHeight="1" thickBot="1" x14ac:dyDescent="0.25">
      <c r="B15" s="35" t="s">
        <v>51</v>
      </c>
      <c r="C15" s="37">
        <f>SUM(C24:C32)</f>
        <v>840</v>
      </c>
      <c r="D15" s="38"/>
      <c r="E15" s="37">
        <f>SUM(E23:E32)</f>
        <v>484</v>
      </c>
      <c r="F15" s="37"/>
      <c r="G15" s="37">
        <f>SUM(G23:G32)</f>
        <v>47</v>
      </c>
      <c r="H15" s="37"/>
      <c r="I15" s="37">
        <f>SUM(I23:I32)</f>
        <v>531</v>
      </c>
      <c r="J15" s="40">
        <f>SUM(J23:J32)</f>
        <v>417</v>
      </c>
      <c r="K15" s="34" t="str">
        <f>"&gt;"&amp;K14</f>
        <v>&gt;16</v>
      </c>
      <c r="L15" s="16">
        <v>1</v>
      </c>
    </row>
    <row r="16" spans="2:15" ht="15" customHeight="1" thickBot="1" x14ac:dyDescent="0.25">
      <c r="B16" s="23" t="s">
        <v>52</v>
      </c>
      <c r="C16" s="39">
        <f>AVERAGE(C24:C32)</f>
        <v>93.333333333333329</v>
      </c>
      <c r="D16" s="39"/>
      <c r="E16" s="39">
        <f>AVERAGE(E23:E32)</f>
        <v>48.4</v>
      </c>
      <c r="F16" s="39"/>
      <c r="G16" s="39">
        <f>AVERAGE(G23:G32)</f>
        <v>4.7</v>
      </c>
      <c r="H16" s="39"/>
      <c r="I16" s="39">
        <f>AVERAGE(I23:I32)</f>
        <v>53.1</v>
      </c>
      <c r="J16" s="41"/>
    </row>
    <row r="17" spans="2:13" ht="15" customHeight="1" thickBot="1" x14ac:dyDescent="0.25">
      <c r="B17" s="62" t="s">
        <v>28</v>
      </c>
      <c r="C17" s="63"/>
      <c r="D17" s="63"/>
      <c r="E17" s="52">
        <v>100</v>
      </c>
    </row>
    <row r="18" spans="2:13" ht="18" customHeight="1" thickBot="1" x14ac:dyDescent="0.25">
      <c r="B18" s="70" t="s">
        <v>54</v>
      </c>
      <c r="C18" s="71"/>
      <c r="D18" s="71"/>
      <c r="E18" s="71"/>
      <c r="F18" s="71"/>
      <c r="G18" s="71"/>
      <c r="H18" s="71"/>
      <c r="I18" s="71"/>
      <c r="J18" s="72"/>
    </row>
    <row r="19" spans="2:13" ht="15" customHeight="1" thickBot="1" x14ac:dyDescent="0.25">
      <c r="B19" s="5" t="s">
        <v>48</v>
      </c>
      <c r="C19" s="4" t="s">
        <v>49</v>
      </c>
      <c r="D19" s="4" t="s">
        <v>21</v>
      </c>
      <c r="E19" s="4" t="s">
        <v>49</v>
      </c>
      <c r="F19" s="4" t="s">
        <v>21</v>
      </c>
      <c r="G19" s="4" t="s">
        <v>50</v>
      </c>
      <c r="H19" s="4" t="s">
        <v>21</v>
      </c>
      <c r="I19" s="4" t="s">
        <v>50</v>
      </c>
      <c r="J19" s="11" t="s">
        <v>50</v>
      </c>
    </row>
    <row r="20" spans="2:13" ht="15" customHeight="1" x14ac:dyDescent="0.2">
      <c r="B20" s="64" t="s">
        <v>14</v>
      </c>
      <c r="C20" s="67" t="s">
        <v>16</v>
      </c>
      <c r="D20" s="67" t="s">
        <v>20</v>
      </c>
      <c r="E20" s="67" t="s">
        <v>15</v>
      </c>
      <c r="F20" s="67" t="s">
        <v>22</v>
      </c>
      <c r="G20" s="67" t="s">
        <v>23</v>
      </c>
      <c r="H20" s="67" t="s">
        <v>30</v>
      </c>
      <c r="I20" s="67" t="s">
        <v>18</v>
      </c>
      <c r="J20" s="82" t="s">
        <v>19</v>
      </c>
      <c r="K20" s="9"/>
      <c r="L20" s="9"/>
    </row>
    <row r="21" spans="2:13" ht="15" customHeight="1" x14ac:dyDescent="0.2">
      <c r="B21" s="65"/>
      <c r="C21" s="68"/>
      <c r="D21" s="68"/>
      <c r="E21" s="68"/>
      <c r="F21" s="68"/>
      <c r="G21" s="68"/>
      <c r="H21" s="68"/>
      <c r="I21" s="68"/>
      <c r="J21" s="98"/>
      <c r="K21" s="9"/>
      <c r="L21" s="9"/>
    </row>
    <row r="22" spans="2:13" ht="15" customHeight="1" thickBot="1" x14ac:dyDescent="0.25">
      <c r="B22" s="66"/>
      <c r="C22" s="69"/>
      <c r="D22" s="69"/>
      <c r="E22" s="69"/>
      <c r="F22" s="69"/>
      <c r="G22" s="69"/>
      <c r="H22" s="69"/>
      <c r="I22" s="69"/>
      <c r="J22" s="84"/>
      <c r="K22" s="9"/>
      <c r="L22" s="9"/>
    </row>
    <row r="23" spans="2:13" x14ac:dyDescent="0.2">
      <c r="B23" s="2">
        <v>1</v>
      </c>
      <c r="C23" s="2"/>
      <c r="D23" s="2">
        <v>0</v>
      </c>
      <c r="E23" s="2">
        <v>25</v>
      </c>
      <c r="F23" s="2">
        <f>D23</f>
        <v>0</v>
      </c>
      <c r="G23" s="2">
        <f t="shared" ref="G23:G32" si="0">F23-D23</f>
        <v>0</v>
      </c>
      <c r="H23" s="2">
        <v>25</v>
      </c>
      <c r="I23" s="2">
        <f t="shared" ref="I23:I32" si="1">H23-D23</f>
        <v>25</v>
      </c>
      <c r="J23" s="2"/>
      <c r="K23" s="9"/>
      <c r="L23" s="9"/>
    </row>
    <row r="24" spans="2:13" ht="12.75" customHeight="1" x14ac:dyDescent="0.2">
      <c r="B24" s="2">
        <v>2</v>
      </c>
      <c r="C24" s="2">
        <v>0</v>
      </c>
      <c r="D24" s="2">
        <v>0</v>
      </c>
      <c r="E24" s="2">
        <v>50</v>
      </c>
      <c r="F24" s="2">
        <f t="shared" ref="F24:F32" si="2">MAX(H23,D24)</f>
        <v>25</v>
      </c>
      <c r="G24" s="2">
        <f t="shared" si="0"/>
        <v>25</v>
      </c>
      <c r="H24" s="2">
        <f t="shared" ref="H23:H32" si="3">F24+E24</f>
        <v>75</v>
      </c>
      <c r="I24" s="2">
        <f t="shared" si="1"/>
        <v>75</v>
      </c>
      <c r="J24" s="2">
        <f>IF(D24-H23&gt;0,D24-H23,0)</f>
        <v>0</v>
      </c>
      <c r="K24" s="9"/>
      <c r="L24" s="9"/>
    </row>
    <row r="25" spans="2:13" ht="12.75" customHeight="1" x14ac:dyDescent="0.2">
      <c r="B25" s="2">
        <v>3</v>
      </c>
      <c r="C25" s="2">
        <f t="shared" ref="C25:C34" si="4">DiscreteEmp($D$7:$D$10,$B$7:$B$10)</f>
        <v>60</v>
      </c>
      <c r="D25" s="2">
        <f t="shared" ref="D24:D32" si="5">D24+C25</f>
        <v>60</v>
      </c>
      <c r="E25" s="2">
        <f t="shared" ref="E25:E34" si="6">INT((8*_xlfn.NORM.S.INV(_rnd01()))+50)</f>
        <v>52</v>
      </c>
      <c r="F25" s="2">
        <f t="shared" si="2"/>
        <v>75</v>
      </c>
      <c r="G25" s="2">
        <f t="shared" si="0"/>
        <v>15</v>
      </c>
      <c r="H25" s="2">
        <f t="shared" si="3"/>
        <v>127</v>
      </c>
      <c r="I25" s="2">
        <f t="shared" si="1"/>
        <v>67</v>
      </c>
      <c r="J25" s="2">
        <f t="shared" ref="J25:J32" si="7">IF(D25-H24&gt;0,D25-H24,0)</f>
        <v>0</v>
      </c>
      <c r="K25" s="9"/>
      <c r="L25" s="9"/>
    </row>
    <row r="26" spans="2:13" x14ac:dyDescent="0.2">
      <c r="B26" s="2">
        <v>4</v>
      </c>
      <c r="C26" s="2">
        <f t="shared" si="4"/>
        <v>60</v>
      </c>
      <c r="D26" s="2">
        <f t="shared" si="5"/>
        <v>120</v>
      </c>
      <c r="E26" s="2">
        <f t="shared" si="6"/>
        <v>49</v>
      </c>
      <c r="F26" s="2">
        <f t="shared" si="2"/>
        <v>127</v>
      </c>
      <c r="G26" s="2">
        <f t="shared" si="0"/>
        <v>7</v>
      </c>
      <c r="H26" s="2">
        <f t="shared" si="3"/>
        <v>176</v>
      </c>
      <c r="I26" s="2">
        <f t="shared" si="1"/>
        <v>56</v>
      </c>
      <c r="J26" s="2">
        <f t="shared" si="7"/>
        <v>0</v>
      </c>
    </row>
    <row r="27" spans="2:13" x14ac:dyDescent="0.2">
      <c r="B27" s="2">
        <v>5</v>
      </c>
      <c r="C27" s="2">
        <f t="shared" si="4"/>
        <v>60</v>
      </c>
      <c r="D27" s="2">
        <f t="shared" si="5"/>
        <v>180</v>
      </c>
      <c r="E27" s="2">
        <f t="shared" si="6"/>
        <v>56</v>
      </c>
      <c r="F27" s="2">
        <f t="shared" si="2"/>
        <v>180</v>
      </c>
      <c r="G27" s="2">
        <f t="shared" si="0"/>
        <v>0</v>
      </c>
      <c r="H27" s="2">
        <f t="shared" si="3"/>
        <v>236</v>
      </c>
      <c r="I27" s="2">
        <f t="shared" si="1"/>
        <v>56</v>
      </c>
      <c r="J27" s="2">
        <f t="shared" si="7"/>
        <v>4</v>
      </c>
    </row>
    <row r="28" spans="2:13" x14ac:dyDescent="0.2">
      <c r="B28" s="2">
        <v>6</v>
      </c>
      <c r="C28" s="2">
        <f t="shared" si="4"/>
        <v>180</v>
      </c>
      <c r="D28" s="2">
        <f>D27+C28</f>
        <v>360</v>
      </c>
      <c r="E28" s="2">
        <f t="shared" si="6"/>
        <v>44</v>
      </c>
      <c r="F28" s="2">
        <f t="shared" si="2"/>
        <v>360</v>
      </c>
      <c r="G28" s="2">
        <f t="shared" si="0"/>
        <v>0</v>
      </c>
      <c r="H28" s="2">
        <f t="shared" si="3"/>
        <v>404</v>
      </c>
      <c r="I28" s="2">
        <f t="shared" si="1"/>
        <v>44</v>
      </c>
      <c r="J28" s="2">
        <f t="shared" si="7"/>
        <v>124</v>
      </c>
      <c r="K28" s="9"/>
    </row>
    <row r="29" spans="2:13" x14ac:dyDescent="0.2">
      <c r="B29" s="2">
        <v>7</v>
      </c>
      <c r="C29" s="2">
        <f t="shared" si="4"/>
        <v>120</v>
      </c>
      <c r="D29" s="2">
        <f t="shared" si="5"/>
        <v>480</v>
      </c>
      <c r="E29" s="2">
        <f t="shared" si="6"/>
        <v>42</v>
      </c>
      <c r="F29" s="2">
        <f t="shared" si="2"/>
        <v>480</v>
      </c>
      <c r="G29" s="2">
        <f t="shared" si="0"/>
        <v>0</v>
      </c>
      <c r="H29" s="2">
        <f t="shared" si="3"/>
        <v>522</v>
      </c>
      <c r="I29" s="2">
        <f t="shared" si="1"/>
        <v>42</v>
      </c>
      <c r="J29" s="2">
        <f t="shared" si="7"/>
        <v>76</v>
      </c>
      <c r="K29" s="12"/>
      <c r="L29" s="12"/>
      <c r="M29" s="13"/>
    </row>
    <row r="30" spans="2:13" x14ac:dyDescent="0.2">
      <c r="B30" s="2">
        <v>8</v>
      </c>
      <c r="C30" s="2">
        <f t="shared" si="4"/>
        <v>180</v>
      </c>
      <c r="D30" s="2">
        <f t="shared" si="5"/>
        <v>660</v>
      </c>
      <c r="E30" s="2">
        <f>INT((8*_xlfn.NORM.S.INV(_rnd01()))+50)</f>
        <v>53</v>
      </c>
      <c r="F30" s="2">
        <f t="shared" si="2"/>
        <v>660</v>
      </c>
      <c r="G30" s="2">
        <f t="shared" si="0"/>
        <v>0</v>
      </c>
      <c r="H30" s="2">
        <f t="shared" si="3"/>
        <v>713</v>
      </c>
      <c r="I30" s="2">
        <f t="shared" si="1"/>
        <v>53</v>
      </c>
      <c r="J30" s="2">
        <f t="shared" si="7"/>
        <v>138</v>
      </c>
      <c r="K30" s="12"/>
      <c r="L30" s="12"/>
      <c r="M30" s="13"/>
    </row>
    <row r="31" spans="2:13" x14ac:dyDescent="0.2">
      <c r="B31" s="2">
        <v>9</v>
      </c>
      <c r="C31" s="2">
        <f t="shared" si="4"/>
        <v>120</v>
      </c>
      <c r="D31" s="2">
        <f t="shared" si="5"/>
        <v>780</v>
      </c>
      <c r="E31" s="2">
        <f t="shared" si="6"/>
        <v>52</v>
      </c>
      <c r="F31" s="2">
        <f t="shared" si="2"/>
        <v>780</v>
      </c>
      <c r="G31" s="2">
        <f t="shared" si="0"/>
        <v>0</v>
      </c>
      <c r="H31" s="2">
        <f t="shared" si="3"/>
        <v>832</v>
      </c>
      <c r="I31" s="2">
        <f t="shared" si="1"/>
        <v>52</v>
      </c>
      <c r="J31" s="2">
        <f t="shared" si="7"/>
        <v>67</v>
      </c>
      <c r="K31" s="12"/>
      <c r="L31" s="12"/>
      <c r="M31" s="13"/>
    </row>
    <row r="32" spans="2:13" ht="12.75" customHeight="1" x14ac:dyDescent="0.2">
      <c r="B32" s="2">
        <v>10</v>
      </c>
      <c r="C32" s="2">
        <f t="shared" si="4"/>
        <v>60</v>
      </c>
      <c r="D32" s="2">
        <f t="shared" si="5"/>
        <v>840</v>
      </c>
      <c r="E32" s="2">
        <f t="shared" si="6"/>
        <v>61</v>
      </c>
      <c r="F32" s="2">
        <f t="shared" si="2"/>
        <v>840</v>
      </c>
      <c r="G32" s="2">
        <f t="shared" si="0"/>
        <v>0</v>
      </c>
      <c r="H32" s="2">
        <f t="shared" si="3"/>
        <v>901</v>
      </c>
      <c r="I32" s="2">
        <f t="shared" si="1"/>
        <v>61</v>
      </c>
      <c r="J32" s="2">
        <f t="shared" si="7"/>
        <v>8</v>
      </c>
      <c r="K32" s="12"/>
      <c r="L32" s="12"/>
      <c r="M32" s="13"/>
    </row>
    <row r="33" spans="2:10" x14ac:dyDescent="0.2">
      <c r="B33" s="2">
        <v>11</v>
      </c>
      <c r="C33" s="2">
        <f t="shared" si="4"/>
        <v>120</v>
      </c>
      <c r="D33" s="2">
        <f t="shared" ref="D33:D34" si="8">D32+C33</f>
        <v>960</v>
      </c>
      <c r="E33" s="2">
        <f t="shared" si="6"/>
        <v>48</v>
      </c>
      <c r="F33" s="2">
        <f t="shared" ref="F33:F34" si="9">MAX(H32,D33)</f>
        <v>960</v>
      </c>
      <c r="G33" s="2">
        <f t="shared" ref="G33:G34" si="10">F33-D33</f>
        <v>0</v>
      </c>
      <c r="H33" s="2">
        <f t="shared" ref="H33:H34" si="11">F33+E33</f>
        <v>1008</v>
      </c>
      <c r="I33" s="2">
        <f t="shared" ref="I33:I34" si="12">H33-D33</f>
        <v>48</v>
      </c>
      <c r="J33" s="2">
        <f t="shared" ref="J33:J34" si="13">IF(D33-H32&gt;0,D33-H32,0)</f>
        <v>59</v>
      </c>
    </row>
    <row r="34" spans="2:10" x14ac:dyDescent="0.2">
      <c r="B34" s="2">
        <v>12</v>
      </c>
      <c r="C34" s="2">
        <f t="shared" si="4"/>
        <v>120</v>
      </c>
      <c r="D34" s="2">
        <f t="shared" si="8"/>
        <v>1080</v>
      </c>
      <c r="E34" s="2">
        <f t="shared" si="6"/>
        <v>49</v>
      </c>
      <c r="F34" s="2">
        <f t="shared" si="9"/>
        <v>1080</v>
      </c>
      <c r="G34" s="2">
        <f t="shared" si="10"/>
        <v>0</v>
      </c>
      <c r="H34" s="2">
        <f t="shared" si="11"/>
        <v>1129</v>
      </c>
      <c r="I34" s="2">
        <f t="shared" si="12"/>
        <v>49</v>
      </c>
      <c r="J34" s="2">
        <f t="shared" si="13"/>
        <v>72</v>
      </c>
    </row>
    <row r="35" spans="2:10" x14ac:dyDescent="0.2">
      <c r="B35" s="2"/>
      <c r="C35" s="2"/>
      <c r="D35" s="2"/>
      <c r="E35" s="2">
        <f>AVERAGE(E25:E34)</f>
        <v>50.6</v>
      </c>
      <c r="F35" s="2"/>
      <c r="G35" s="2">
        <f>AVERAGE(G25:G34)</f>
        <v>2.2000000000000002</v>
      </c>
      <c r="H35" s="2"/>
      <c r="I35" s="2"/>
      <c r="J35" s="2"/>
    </row>
    <row r="36" spans="2:10" x14ac:dyDescent="0.2">
      <c r="B36" s="2"/>
      <c r="C36" s="2"/>
      <c r="D36" s="2"/>
      <c r="E36" s="2"/>
      <c r="F36" s="2"/>
      <c r="G36" s="2"/>
      <c r="H36" s="2"/>
      <c r="I36" s="2"/>
      <c r="J36" s="2"/>
    </row>
    <row r="37" spans="2:10" x14ac:dyDescent="0.2">
      <c r="B37" s="2"/>
      <c r="C37" s="2"/>
      <c r="D37" s="2"/>
      <c r="E37" s="2"/>
      <c r="F37" s="2"/>
      <c r="G37" s="2"/>
      <c r="H37" s="2"/>
      <c r="I37" s="2"/>
      <c r="J37" s="2"/>
    </row>
    <row r="38" spans="2:10" x14ac:dyDescent="0.2">
      <c r="B38" s="2"/>
      <c r="C38" s="2"/>
      <c r="D38" s="2"/>
      <c r="E38" s="2"/>
      <c r="F38" s="2"/>
      <c r="G38" s="2"/>
      <c r="H38" s="2"/>
      <c r="I38" s="2"/>
      <c r="J38" s="2"/>
    </row>
    <row r="39" spans="2:10" x14ac:dyDescent="0.2">
      <c r="B39" s="2"/>
      <c r="C39" s="2"/>
      <c r="D39" s="2"/>
      <c r="E39" s="2"/>
      <c r="F39" s="2"/>
      <c r="G39" s="2"/>
      <c r="H39" s="2"/>
      <c r="I39" s="2"/>
      <c r="J39" s="2"/>
    </row>
    <row r="40" spans="2:10" x14ac:dyDescent="0.2">
      <c r="B40" s="2"/>
      <c r="C40" s="2"/>
      <c r="D40" s="2"/>
      <c r="E40" s="2"/>
      <c r="F40" s="2"/>
      <c r="G40" s="2"/>
      <c r="H40" s="2"/>
      <c r="I40" s="2"/>
      <c r="J40" s="2"/>
    </row>
    <row r="41" spans="2:10" x14ac:dyDescent="0.2">
      <c r="B41" s="2"/>
      <c r="C41" s="2"/>
      <c r="D41" s="2"/>
      <c r="E41" s="2"/>
      <c r="F41" s="2"/>
      <c r="G41" s="2"/>
      <c r="H41" s="2"/>
      <c r="I41" s="2"/>
      <c r="J41" s="2"/>
    </row>
    <row r="42" spans="2:10" x14ac:dyDescent="0.2">
      <c r="B42" s="2"/>
      <c r="C42" s="2"/>
      <c r="D42" s="2"/>
      <c r="E42" s="2"/>
      <c r="F42" s="2"/>
      <c r="G42" s="2"/>
      <c r="H42" s="2"/>
      <c r="I42" s="2"/>
      <c r="J42" s="2"/>
    </row>
    <row r="43" spans="2:10" x14ac:dyDescent="0.2">
      <c r="B43" s="2"/>
      <c r="C43" s="2"/>
      <c r="D43" s="2"/>
      <c r="E43" s="2"/>
      <c r="F43" s="2"/>
      <c r="G43" s="2"/>
      <c r="H43" s="2"/>
      <c r="I43" s="2"/>
      <c r="J43" s="2"/>
    </row>
    <row r="44" spans="2:10" x14ac:dyDescent="0.2">
      <c r="B44" s="2"/>
      <c r="C44" s="2"/>
      <c r="D44" s="2"/>
      <c r="E44" s="2"/>
      <c r="F44" s="2"/>
      <c r="G44" s="2"/>
      <c r="H44" s="2"/>
      <c r="I44" s="2"/>
      <c r="J44" s="2"/>
    </row>
    <row r="45" spans="2:10" x14ac:dyDescent="0.2">
      <c r="B45" s="2"/>
      <c r="C45" s="2"/>
      <c r="D45" s="2"/>
      <c r="E45" s="2"/>
      <c r="F45" s="2"/>
      <c r="G45" s="2"/>
      <c r="H45" s="2"/>
      <c r="I45" s="2"/>
      <c r="J45" s="2"/>
    </row>
    <row r="46" spans="2:10" x14ac:dyDescent="0.2">
      <c r="B46" s="2"/>
      <c r="C46" s="2"/>
      <c r="D46" s="2"/>
      <c r="E46" s="2"/>
      <c r="F46" s="2"/>
      <c r="G46" s="2"/>
      <c r="H46" s="2"/>
      <c r="I46" s="2"/>
      <c r="J46" s="2"/>
    </row>
    <row r="47" spans="2:10" x14ac:dyDescent="0.2">
      <c r="B47" s="2"/>
      <c r="C47" s="2"/>
      <c r="D47" s="2"/>
      <c r="E47" s="2"/>
      <c r="F47" s="2"/>
      <c r="G47" s="2"/>
      <c r="H47" s="2"/>
      <c r="I47" s="2"/>
      <c r="J47" s="2"/>
    </row>
    <row r="48" spans="2:10" x14ac:dyDescent="0.2">
      <c r="B48" s="2"/>
      <c r="C48" s="2"/>
      <c r="D48" s="2"/>
      <c r="E48" s="2"/>
      <c r="F48" s="2"/>
      <c r="G48" s="2"/>
      <c r="H48" s="2"/>
      <c r="I48" s="2"/>
      <c r="J48" s="2"/>
    </row>
    <row r="49" spans="2:10" x14ac:dyDescent="0.2">
      <c r="B49" s="2"/>
      <c r="C49" s="2"/>
      <c r="D49" s="2"/>
      <c r="E49" s="2"/>
      <c r="F49" s="2"/>
      <c r="G49" s="2"/>
      <c r="H49" s="2"/>
      <c r="I49" s="2"/>
      <c r="J49" s="2"/>
    </row>
    <row r="50" spans="2:10" x14ac:dyDescent="0.2">
      <c r="B50" s="2"/>
      <c r="C50" s="2"/>
      <c r="D50" s="2"/>
      <c r="E50" s="2"/>
      <c r="F50" s="2"/>
      <c r="G50" s="2"/>
      <c r="H50" s="2"/>
      <c r="I50" s="2"/>
      <c r="J50" s="2"/>
    </row>
    <row r="51" spans="2:10" x14ac:dyDescent="0.2">
      <c r="B51" s="2"/>
      <c r="C51" s="2"/>
      <c r="D51" s="2"/>
      <c r="E51" s="2"/>
      <c r="F51" s="2"/>
      <c r="G51" s="2"/>
      <c r="H51" s="2"/>
      <c r="I51" s="2"/>
      <c r="J51" s="2"/>
    </row>
    <row r="52" spans="2:10" x14ac:dyDescent="0.2">
      <c r="B52" s="2"/>
      <c r="C52" s="2"/>
      <c r="D52" s="2"/>
      <c r="E52" s="2"/>
      <c r="F52" s="2"/>
      <c r="G52" s="2"/>
      <c r="H52" s="2"/>
      <c r="I52" s="2"/>
      <c r="J52" s="2"/>
    </row>
    <row r="53" spans="2:10" x14ac:dyDescent="0.2">
      <c r="B53" s="2"/>
      <c r="C53" s="2"/>
      <c r="D53" s="2"/>
      <c r="E53" s="2"/>
      <c r="F53" s="2"/>
      <c r="G53" s="2"/>
      <c r="H53" s="2"/>
      <c r="I53" s="2"/>
      <c r="J53" s="2"/>
    </row>
    <row r="54" spans="2:10" x14ac:dyDescent="0.2">
      <c r="B54" s="2"/>
      <c r="C54" s="2"/>
      <c r="D54" s="2"/>
      <c r="E54" s="2"/>
      <c r="F54" s="2"/>
      <c r="G54" s="2"/>
      <c r="H54" s="2"/>
      <c r="I54" s="2"/>
      <c r="J54" s="2"/>
    </row>
    <row r="55" spans="2:10" x14ac:dyDescent="0.2">
      <c r="B55" s="2"/>
      <c r="C55" s="2"/>
      <c r="D55" s="2"/>
      <c r="E55" s="2"/>
      <c r="F55" s="2"/>
      <c r="G55" s="2"/>
      <c r="H55" s="2"/>
      <c r="I55" s="2"/>
      <c r="J55" s="2"/>
    </row>
    <row r="56" spans="2:10" x14ac:dyDescent="0.2">
      <c r="B56" s="2"/>
      <c r="C56" s="2"/>
      <c r="D56" s="2"/>
      <c r="E56" s="2"/>
      <c r="F56" s="2"/>
      <c r="G56" s="2"/>
      <c r="H56" s="2"/>
      <c r="I56" s="2"/>
      <c r="J56" s="2"/>
    </row>
    <row r="57" spans="2:10" x14ac:dyDescent="0.2">
      <c r="B57" s="2"/>
      <c r="C57" s="2"/>
      <c r="D57" s="2"/>
      <c r="E57" s="2"/>
      <c r="F57" s="2"/>
      <c r="G57" s="2"/>
      <c r="H57" s="2"/>
      <c r="I57" s="2"/>
      <c r="J57" s="2"/>
    </row>
    <row r="58" spans="2:10" x14ac:dyDescent="0.2">
      <c r="B58" s="2"/>
      <c r="C58" s="2"/>
      <c r="D58" s="2"/>
      <c r="E58" s="2"/>
      <c r="F58" s="2"/>
      <c r="G58" s="2"/>
      <c r="H58" s="2"/>
      <c r="I58" s="2"/>
      <c r="J58" s="2"/>
    </row>
    <row r="59" spans="2:10" x14ac:dyDescent="0.2">
      <c r="B59" s="2"/>
      <c r="C59" s="2"/>
      <c r="D59" s="2"/>
      <c r="E59" s="2"/>
      <c r="F59" s="2"/>
      <c r="G59" s="2"/>
      <c r="H59" s="2"/>
      <c r="I59" s="2"/>
      <c r="J59" s="2"/>
    </row>
    <row r="60" spans="2:10" x14ac:dyDescent="0.2">
      <c r="B60" s="2"/>
      <c r="C60" s="2"/>
      <c r="D60" s="2"/>
      <c r="E60" s="2"/>
      <c r="F60" s="2"/>
      <c r="G60" s="2"/>
      <c r="H60" s="2"/>
      <c r="I60" s="2"/>
      <c r="J60" s="2"/>
    </row>
    <row r="61" spans="2:10" x14ac:dyDescent="0.2">
      <c r="B61" s="2"/>
      <c r="C61" s="2"/>
      <c r="D61" s="2"/>
      <c r="E61" s="2"/>
      <c r="F61" s="2"/>
      <c r="G61" s="2"/>
      <c r="H61" s="2"/>
      <c r="I61" s="2"/>
      <c r="J61" s="2"/>
    </row>
    <row r="62" spans="2:10" x14ac:dyDescent="0.2">
      <c r="B62" s="2"/>
      <c r="C62" s="2"/>
      <c r="D62" s="2"/>
      <c r="E62" s="2"/>
      <c r="F62" s="2"/>
      <c r="G62" s="2"/>
      <c r="H62" s="2"/>
      <c r="I62" s="2"/>
      <c r="J62" s="2"/>
    </row>
    <row r="63" spans="2:10" x14ac:dyDescent="0.2">
      <c r="B63" s="2"/>
      <c r="C63" s="2"/>
      <c r="D63" s="2"/>
      <c r="E63" s="2"/>
      <c r="F63" s="2"/>
      <c r="G63" s="2"/>
      <c r="H63" s="2"/>
      <c r="I63" s="2"/>
      <c r="J63" s="2"/>
    </row>
    <row r="64" spans="2:10" x14ac:dyDescent="0.2">
      <c r="B64" s="2"/>
      <c r="C64" s="2"/>
      <c r="D64" s="2"/>
      <c r="E64" s="2"/>
      <c r="F64" s="2"/>
      <c r="G64" s="2"/>
      <c r="H64" s="2"/>
      <c r="I64" s="2"/>
      <c r="J64" s="2"/>
    </row>
    <row r="65" spans="2:10" x14ac:dyDescent="0.2">
      <c r="B65" s="2"/>
      <c r="C65" s="2"/>
      <c r="D65" s="2"/>
      <c r="E65" s="2"/>
      <c r="F65" s="2"/>
      <c r="G65" s="2"/>
      <c r="H65" s="2"/>
      <c r="I65" s="2"/>
      <c r="J65" s="2"/>
    </row>
    <row r="66" spans="2:10" x14ac:dyDescent="0.2">
      <c r="B66" s="2"/>
      <c r="C66" s="2"/>
      <c r="D66" s="2"/>
      <c r="E66" s="2"/>
      <c r="F66" s="2"/>
      <c r="G66" s="2"/>
      <c r="H66" s="2"/>
      <c r="I66" s="2"/>
      <c r="J66" s="2"/>
    </row>
    <row r="67" spans="2:10" x14ac:dyDescent="0.2">
      <c r="B67" s="2"/>
      <c r="C67" s="2"/>
      <c r="D67" s="2"/>
      <c r="E67" s="2"/>
      <c r="F67" s="2"/>
      <c r="G67" s="2"/>
      <c r="H67" s="2"/>
      <c r="I67" s="2"/>
      <c r="J67" s="2"/>
    </row>
    <row r="68" spans="2:10" x14ac:dyDescent="0.2">
      <c r="B68" s="2"/>
      <c r="C68" s="2"/>
      <c r="D68" s="2"/>
      <c r="E68" s="2"/>
      <c r="F68" s="2"/>
      <c r="G68" s="2"/>
      <c r="H68" s="2"/>
      <c r="I68" s="2"/>
      <c r="J68" s="2"/>
    </row>
    <row r="69" spans="2:10" x14ac:dyDescent="0.2">
      <c r="B69" s="2"/>
      <c r="C69" s="2"/>
      <c r="D69" s="2"/>
      <c r="E69" s="2"/>
      <c r="F69" s="2"/>
      <c r="G69" s="2"/>
      <c r="H69" s="2"/>
      <c r="I69" s="2"/>
      <c r="J69" s="2"/>
    </row>
    <row r="70" spans="2:10" x14ac:dyDescent="0.2">
      <c r="B70" s="2"/>
      <c r="C70" s="2"/>
      <c r="D70" s="2"/>
      <c r="E70" s="2"/>
      <c r="F70" s="2"/>
      <c r="G70" s="2"/>
      <c r="H70" s="2"/>
      <c r="I70" s="2"/>
      <c r="J70" s="2"/>
    </row>
    <row r="71" spans="2:10" x14ac:dyDescent="0.2">
      <c r="B71" s="2"/>
      <c r="C71" s="2"/>
      <c r="D71" s="2"/>
      <c r="E71" s="2"/>
      <c r="F71" s="2"/>
      <c r="G71" s="2"/>
      <c r="H71" s="2"/>
      <c r="I71" s="2"/>
      <c r="J71" s="2"/>
    </row>
    <row r="72" spans="2:10" x14ac:dyDescent="0.2">
      <c r="B72" s="2"/>
      <c r="C72" s="2"/>
      <c r="D72" s="2"/>
      <c r="E72" s="2"/>
      <c r="F72" s="2"/>
      <c r="G72" s="2"/>
      <c r="H72" s="2"/>
      <c r="I72" s="2"/>
      <c r="J72" s="2"/>
    </row>
    <row r="73" spans="2:10" x14ac:dyDescent="0.2">
      <c r="B73" s="2"/>
      <c r="C73" s="2"/>
      <c r="D73" s="2"/>
      <c r="E73" s="2"/>
      <c r="F73" s="2"/>
      <c r="G73" s="2"/>
      <c r="H73" s="2"/>
      <c r="I73" s="2"/>
      <c r="J73" s="2"/>
    </row>
    <row r="74" spans="2:10" x14ac:dyDescent="0.2">
      <c r="B74" s="2"/>
      <c r="C74" s="2"/>
      <c r="D74" s="2"/>
      <c r="E74" s="2"/>
      <c r="F74" s="2"/>
      <c r="G74" s="2"/>
      <c r="H74" s="2"/>
      <c r="I74" s="2"/>
      <c r="J74" s="2"/>
    </row>
    <row r="75" spans="2:10" x14ac:dyDescent="0.2">
      <c r="B75" s="2"/>
      <c r="C75" s="2"/>
      <c r="D75" s="2"/>
      <c r="E75" s="2"/>
      <c r="F75" s="2"/>
      <c r="G75" s="2"/>
      <c r="H75" s="2"/>
      <c r="I75" s="2"/>
      <c r="J75" s="2"/>
    </row>
    <row r="76" spans="2:10" x14ac:dyDescent="0.2">
      <c r="B76" s="2"/>
      <c r="C76" s="2"/>
      <c r="D76" s="2"/>
      <c r="E76" s="2"/>
      <c r="F76" s="2"/>
      <c r="G76" s="2"/>
      <c r="H76" s="2"/>
      <c r="I76" s="2"/>
      <c r="J76" s="2"/>
    </row>
    <row r="77" spans="2:10" x14ac:dyDescent="0.2">
      <c r="B77" s="2"/>
      <c r="C77" s="2"/>
      <c r="D77" s="2"/>
      <c r="E77" s="2"/>
      <c r="F77" s="2"/>
      <c r="G77" s="2"/>
      <c r="H77" s="2"/>
      <c r="I77" s="2"/>
      <c r="J77" s="2"/>
    </row>
    <row r="78" spans="2:10" x14ac:dyDescent="0.2">
      <c r="B78" s="2"/>
      <c r="C78" s="2"/>
      <c r="D78" s="2"/>
      <c r="E78" s="2"/>
      <c r="F78" s="2"/>
      <c r="G78" s="2"/>
      <c r="H78" s="2"/>
      <c r="I78" s="2"/>
      <c r="J78" s="2"/>
    </row>
    <row r="79" spans="2:10" x14ac:dyDescent="0.2">
      <c r="B79" s="2"/>
      <c r="C79" s="2"/>
      <c r="D79" s="2"/>
      <c r="E79" s="2"/>
      <c r="F79" s="2"/>
      <c r="G79" s="2"/>
      <c r="H79" s="2"/>
      <c r="I79" s="2"/>
      <c r="J79" s="2"/>
    </row>
    <row r="80" spans="2:10" x14ac:dyDescent="0.2">
      <c r="B80" s="2"/>
      <c r="C80" s="2"/>
      <c r="D80" s="2"/>
      <c r="E80" s="2"/>
      <c r="F80" s="2"/>
      <c r="G80" s="2"/>
      <c r="H80" s="2"/>
      <c r="I80" s="2"/>
      <c r="J80" s="2"/>
    </row>
    <row r="81" spans="2:10" x14ac:dyDescent="0.2">
      <c r="B81" s="2"/>
      <c r="C81" s="2"/>
      <c r="D81" s="2"/>
      <c r="E81" s="2"/>
      <c r="F81" s="2"/>
      <c r="G81" s="2"/>
      <c r="H81" s="2"/>
      <c r="I81" s="2"/>
      <c r="J81" s="2"/>
    </row>
    <row r="82" spans="2:10" x14ac:dyDescent="0.2">
      <c r="B82" s="2"/>
      <c r="C82" s="2"/>
      <c r="D82" s="2"/>
      <c r="E82" s="2"/>
      <c r="F82" s="2"/>
      <c r="G82" s="2"/>
      <c r="H82" s="2"/>
      <c r="I82" s="2"/>
      <c r="J82" s="2"/>
    </row>
    <row r="83" spans="2:10" x14ac:dyDescent="0.2">
      <c r="B83" s="2"/>
      <c r="C83" s="2"/>
      <c r="D83" s="2"/>
      <c r="E83" s="2"/>
      <c r="F83" s="2"/>
      <c r="G83" s="2"/>
      <c r="H83" s="2"/>
      <c r="I83" s="2"/>
      <c r="J83" s="2"/>
    </row>
    <row r="84" spans="2:10" x14ac:dyDescent="0.2">
      <c r="B84" s="2"/>
      <c r="C84" s="2"/>
      <c r="D84" s="2"/>
      <c r="E84" s="2"/>
      <c r="F84" s="2"/>
      <c r="G84" s="2"/>
      <c r="H84" s="2"/>
      <c r="I84" s="2"/>
      <c r="J84" s="2"/>
    </row>
    <row r="85" spans="2:10" x14ac:dyDescent="0.2">
      <c r="B85" s="2"/>
      <c r="C85" s="2"/>
      <c r="D85" s="2"/>
      <c r="E85" s="2"/>
      <c r="F85" s="2"/>
      <c r="G85" s="2"/>
      <c r="H85" s="2"/>
      <c r="I85" s="2"/>
      <c r="J85" s="2"/>
    </row>
    <row r="86" spans="2:10" x14ac:dyDescent="0.2">
      <c r="B86" s="2"/>
      <c r="C86" s="2"/>
      <c r="D86" s="2"/>
      <c r="E86" s="2"/>
      <c r="F86" s="2"/>
      <c r="G86" s="2"/>
      <c r="H86" s="2"/>
      <c r="I86" s="2"/>
      <c r="J86" s="2"/>
    </row>
    <row r="87" spans="2:10" x14ac:dyDescent="0.2">
      <c r="B87" s="2"/>
      <c r="C87" s="2"/>
      <c r="D87" s="2"/>
      <c r="E87" s="2"/>
      <c r="F87" s="2"/>
      <c r="G87" s="2"/>
      <c r="H87" s="2"/>
      <c r="I87" s="2"/>
      <c r="J87" s="2"/>
    </row>
    <row r="88" spans="2:10" x14ac:dyDescent="0.2">
      <c r="B88" s="2"/>
      <c r="C88" s="2"/>
      <c r="D88" s="2"/>
      <c r="E88" s="2"/>
      <c r="F88" s="2"/>
      <c r="G88" s="2"/>
      <c r="H88" s="2"/>
      <c r="I88" s="2"/>
      <c r="J88" s="2"/>
    </row>
    <row r="89" spans="2:10" x14ac:dyDescent="0.2">
      <c r="B89" s="2"/>
      <c r="C89" s="2"/>
      <c r="D89" s="2"/>
      <c r="E89" s="2"/>
      <c r="F89" s="2"/>
      <c r="G89" s="2"/>
      <c r="H89" s="2"/>
      <c r="I89" s="2"/>
      <c r="J89" s="2"/>
    </row>
    <row r="90" spans="2:10" x14ac:dyDescent="0.2">
      <c r="B90" s="2"/>
      <c r="C90" s="2"/>
      <c r="D90" s="2"/>
      <c r="E90" s="2"/>
      <c r="F90" s="2"/>
      <c r="G90" s="2"/>
      <c r="H90" s="2"/>
      <c r="I90" s="2"/>
      <c r="J90" s="2"/>
    </row>
    <row r="91" spans="2:10" x14ac:dyDescent="0.2">
      <c r="B91" s="2"/>
      <c r="C91" s="2"/>
      <c r="D91" s="2"/>
      <c r="E91" s="2"/>
      <c r="F91" s="2"/>
      <c r="G91" s="2"/>
      <c r="H91" s="2"/>
      <c r="I91" s="2"/>
      <c r="J91" s="2"/>
    </row>
    <row r="92" spans="2:10" x14ac:dyDescent="0.2">
      <c r="B92" s="2"/>
      <c r="C92" s="2"/>
      <c r="D92" s="2"/>
      <c r="E92" s="2"/>
      <c r="F92" s="2"/>
      <c r="G92" s="2"/>
      <c r="H92" s="2"/>
      <c r="I92" s="2"/>
      <c r="J92" s="2"/>
    </row>
    <row r="93" spans="2:10" x14ac:dyDescent="0.2">
      <c r="B93" s="2"/>
      <c r="C93" s="2"/>
      <c r="D93" s="2"/>
      <c r="E93" s="2"/>
      <c r="F93" s="2"/>
      <c r="G93" s="2"/>
      <c r="H93" s="2"/>
      <c r="I93" s="2"/>
      <c r="J93" s="2"/>
    </row>
    <row r="94" spans="2:10" x14ac:dyDescent="0.2">
      <c r="B94" s="2"/>
      <c r="C94" s="2"/>
      <c r="D94" s="2"/>
      <c r="E94" s="2"/>
      <c r="F94" s="2"/>
      <c r="G94" s="2"/>
      <c r="H94" s="2"/>
      <c r="I94" s="2"/>
      <c r="J94" s="2"/>
    </row>
  </sheetData>
  <mergeCells count="20">
    <mergeCell ref="E20:E22"/>
    <mergeCell ref="F20:F22"/>
    <mergeCell ref="G20:G22"/>
    <mergeCell ref="H20:H22"/>
    <mergeCell ref="B1:I1"/>
    <mergeCell ref="B4:B6"/>
    <mergeCell ref="C4:C6"/>
    <mergeCell ref="D4:D6"/>
    <mergeCell ref="K3:L4"/>
    <mergeCell ref="G4:H5"/>
    <mergeCell ref="B17:D17"/>
    <mergeCell ref="B20:B22"/>
    <mergeCell ref="C20:C22"/>
    <mergeCell ref="D20:D22"/>
    <mergeCell ref="B18:J18"/>
    <mergeCell ref="B2:I2"/>
    <mergeCell ref="F9:I11"/>
    <mergeCell ref="I20:I22"/>
    <mergeCell ref="J20:J22"/>
    <mergeCell ref="E13:G1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Trial_Click">
                <anchor moveWithCells="1" sizeWithCells="1">
                  <from>
                    <xdr:col>9</xdr:col>
                    <xdr:colOff>381000</xdr:colOff>
                    <xdr:row>0</xdr:row>
                    <xdr:rowOff>95250</xdr:rowOff>
                  </from>
                  <to>
                    <xdr:col>11</xdr:col>
                    <xdr:colOff>571500</xdr:colOff>
                    <xdr:row>1</xdr:row>
                    <xdr:rowOff>142875</xdr:rowOff>
                  </to>
                </anchor>
              </controlPr>
            </control>
          </mc:Choice>
        </mc:AlternateContent>
        <mc:AlternateContent xmlns:mc="http://schemas.openxmlformats.org/markup-compatibility/2006">
          <mc:Choice Requires="x14">
            <control shapeId="1038" r:id="rId5" name="Button 14">
              <controlPr defaultSize="0" print="0" autoFill="0" autoPict="0" macro="[0]!ResetSeedOneTrial_Click">
                <anchor moveWithCells="1" sizeWithCells="1">
                  <from>
                    <xdr:col>8</xdr:col>
                    <xdr:colOff>57150</xdr:colOff>
                    <xdr:row>11</xdr:row>
                    <xdr:rowOff>152400</xdr:rowOff>
                  </from>
                  <to>
                    <xdr:col>9</xdr:col>
                    <xdr:colOff>85725</xdr:colOff>
                    <xdr:row>13</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410"/>
  <sheetViews>
    <sheetView workbookViewId="0">
      <pane ySplit="10" topLeftCell="A56" activePane="bottomLeft" state="frozen"/>
      <selection pane="bottomLeft" activeCell="A15" sqref="A15"/>
    </sheetView>
  </sheetViews>
  <sheetFormatPr defaultRowHeight="12.75" x14ac:dyDescent="0.2"/>
  <cols>
    <col min="1" max="1" width="9.7109375" style="2" customWidth="1"/>
    <col min="2" max="2" width="12.42578125" style="2" customWidth="1"/>
    <col min="3" max="3" width="6.42578125" customWidth="1"/>
    <col min="4" max="4" width="10.7109375" customWidth="1"/>
    <col min="5" max="5" width="10.5703125" bestFit="1" customWidth="1"/>
  </cols>
  <sheetData>
    <row r="1" spans="1:15" ht="18" x14ac:dyDescent="0.25">
      <c r="A1" s="101" t="s">
        <v>24</v>
      </c>
      <c r="B1" s="101"/>
      <c r="C1" s="101"/>
      <c r="D1" s="101"/>
      <c r="E1" s="101"/>
      <c r="F1" s="101"/>
      <c r="G1" s="101"/>
      <c r="H1" s="101"/>
      <c r="I1" s="101"/>
      <c r="J1" s="101"/>
      <c r="K1" s="101"/>
    </row>
    <row r="2" spans="1:15" x14ac:dyDescent="0.2">
      <c r="A2"/>
      <c r="B2"/>
    </row>
    <row r="3" spans="1:15" x14ac:dyDescent="0.2">
      <c r="A3" s="102" t="s">
        <v>0</v>
      </c>
      <c r="B3" s="102"/>
      <c r="C3" s="36">
        <v>50</v>
      </c>
      <c r="D3" s="2"/>
      <c r="J3" s="104" t="s">
        <v>33</v>
      </c>
      <c r="K3" s="104"/>
      <c r="L3" s="104"/>
      <c r="M3" s="104"/>
      <c r="N3" s="104"/>
      <c r="O3" s="104"/>
    </row>
    <row r="4" spans="1:15" x14ac:dyDescent="0.2">
      <c r="A4" s="105" t="s">
        <v>5</v>
      </c>
      <c r="B4" s="105"/>
      <c r="C4" s="105"/>
      <c r="D4" s="105"/>
      <c r="E4" s="105"/>
      <c r="J4" s="104" t="s">
        <v>34</v>
      </c>
      <c r="K4" s="104"/>
      <c r="L4" s="104"/>
      <c r="M4" s="104"/>
      <c r="N4" s="104"/>
      <c r="O4" s="104"/>
    </row>
    <row r="5" spans="1:15" x14ac:dyDescent="0.2">
      <c r="A5" s="105" t="s">
        <v>26</v>
      </c>
      <c r="B5" s="105"/>
      <c r="C5" s="105"/>
      <c r="D5" s="8" t="s">
        <v>2</v>
      </c>
      <c r="J5" s="103" t="s">
        <v>25</v>
      </c>
      <c r="K5" s="103"/>
      <c r="L5" s="103"/>
      <c r="M5" s="103"/>
      <c r="N5" s="103"/>
      <c r="O5" s="103"/>
    </row>
    <row r="6" spans="1:15" x14ac:dyDescent="0.2">
      <c r="A6" s="105" t="s">
        <v>27</v>
      </c>
      <c r="B6" s="105"/>
      <c r="C6" s="105"/>
      <c r="D6" s="14">
        <f>AVERAGE('One Trial'!G23:G32)</f>
        <v>2.02</v>
      </c>
      <c r="J6" s="103" t="str">
        <f>"the source of the data in Column B under " &amp; A6 &amp; "."</f>
        <v>the source of the data in Column B under Avg. Cust. Waiting Time.</v>
      </c>
      <c r="K6" s="103"/>
      <c r="L6" s="103"/>
      <c r="M6" s="103"/>
      <c r="N6" s="103"/>
      <c r="O6" s="103"/>
    </row>
    <row r="7" spans="1:15" x14ac:dyDescent="0.2">
      <c r="A7" s="6"/>
      <c r="B7" s="6"/>
      <c r="C7" s="1"/>
      <c r="E7" s="106" t="str">
        <f>"Click on Run Experiment to generate " &amp; C3 &amp; " trials, and to create a histogram"</f>
        <v>Click on Run Experiment to generate 50 trials, and to create a histogram</v>
      </c>
      <c r="F7" s="106"/>
      <c r="G7" s="106"/>
      <c r="H7" s="106"/>
      <c r="I7" s="106"/>
      <c r="J7" s="106"/>
      <c r="K7" s="106"/>
    </row>
    <row r="8" spans="1:15" ht="13.5" thickBot="1" x14ac:dyDescent="0.25">
      <c r="A8" s="6"/>
      <c r="B8" s="6"/>
      <c r="C8" s="1"/>
      <c r="E8" s="106" t="str">
        <f>"to show the distribution of the " &amp; C3 &amp; " samples of " &amp; A6 &amp; "."</f>
        <v>to show the distribution of the 50 samples of Avg. Cust. Waiting Time.</v>
      </c>
      <c r="F8" s="106"/>
      <c r="G8" s="106"/>
      <c r="H8" s="106"/>
      <c r="I8" s="106"/>
      <c r="J8" s="106"/>
      <c r="K8" s="106"/>
    </row>
    <row r="9" spans="1:15" ht="13.5" thickBot="1" x14ac:dyDescent="0.25">
      <c r="A9" s="70" t="s">
        <v>55</v>
      </c>
      <c r="B9" s="72"/>
      <c r="D9" s="70" t="s">
        <v>56</v>
      </c>
      <c r="E9" s="72"/>
      <c r="L9" s="99" t="s">
        <v>32</v>
      </c>
      <c r="M9" s="100"/>
      <c r="N9" s="100"/>
      <c r="O9" s="33">
        <v>12345</v>
      </c>
    </row>
    <row r="10" spans="1:15" ht="39" thickBot="1" x14ac:dyDescent="0.25">
      <c r="A10" s="42" t="s">
        <v>1</v>
      </c>
      <c r="B10" s="53" t="str">
        <f>A6</f>
        <v>Avg. Cust. Waiting Time</v>
      </c>
      <c r="D10" s="42" t="s">
        <v>3</v>
      </c>
      <c r="E10" s="54" t="s">
        <v>4</v>
      </c>
    </row>
    <row r="11" spans="1:15" x14ac:dyDescent="0.2">
      <c r="A11" s="2">
        <v>1</v>
      </c>
      <c r="B11" s="7">
        <v>0.89</v>
      </c>
      <c r="C11" s="2"/>
      <c r="D11" s="59">
        <v>0</v>
      </c>
      <c r="E11" s="60">
        <f t="array" ref="E11:E21">FREQUENCY(B11:B60,D11:D21)</f>
        <v>0</v>
      </c>
    </row>
    <row r="12" spans="1:15" x14ac:dyDescent="0.2">
      <c r="A12" s="2">
        <v>2</v>
      </c>
      <c r="B12" s="7">
        <v>1.56</v>
      </c>
      <c r="C12" s="2"/>
      <c r="D12" s="32">
        <v>0.5</v>
      </c>
      <c r="E12" s="15">
        <v>0</v>
      </c>
    </row>
    <row r="13" spans="1:15" x14ac:dyDescent="0.2">
      <c r="A13" s="2">
        <v>3</v>
      </c>
      <c r="B13" s="7">
        <v>1.08</v>
      </c>
      <c r="C13" s="2"/>
      <c r="D13" s="32">
        <v>1</v>
      </c>
      <c r="E13" s="15">
        <v>20</v>
      </c>
    </row>
    <row r="14" spans="1:15" x14ac:dyDescent="0.2">
      <c r="A14" s="2">
        <v>4</v>
      </c>
      <c r="B14" s="7">
        <v>3.09</v>
      </c>
      <c r="C14" s="2"/>
      <c r="D14" s="32">
        <v>1.5</v>
      </c>
      <c r="E14" s="15">
        <v>13</v>
      </c>
    </row>
    <row r="15" spans="1:15" x14ac:dyDescent="0.2">
      <c r="A15" s="2">
        <v>5</v>
      </c>
      <c r="B15" s="7">
        <v>0.78</v>
      </c>
      <c r="C15" s="2"/>
      <c r="D15" s="32">
        <v>2</v>
      </c>
      <c r="E15" s="15">
        <v>9</v>
      </c>
    </row>
    <row r="16" spans="1:15" x14ac:dyDescent="0.2">
      <c r="A16" s="2">
        <v>6</v>
      </c>
      <c r="B16" s="7">
        <v>1.78</v>
      </c>
      <c r="C16" s="2"/>
      <c r="D16" s="32">
        <v>2.5</v>
      </c>
      <c r="E16" s="15">
        <v>5</v>
      </c>
    </row>
    <row r="17" spans="1:5" x14ac:dyDescent="0.2">
      <c r="A17" s="2">
        <v>7</v>
      </c>
      <c r="B17" s="7">
        <v>1.1100000000000001</v>
      </c>
      <c r="C17" s="2"/>
      <c r="D17" s="32">
        <v>3</v>
      </c>
      <c r="E17" s="15">
        <v>0</v>
      </c>
    </row>
    <row r="18" spans="1:5" x14ac:dyDescent="0.2">
      <c r="A18" s="2">
        <v>8</v>
      </c>
      <c r="B18" s="7">
        <v>0.86</v>
      </c>
      <c r="C18" s="2"/>
      <c r="D18" s="32">
        <v>3.5</v>
      </c>
      <c r="E18" s="15">
        <v>2</v>
      </c>
    </row>
    <row r="19" spans="1:5" x14ac:dyDescent="0.2">
      <c r="A19" s="2">
        <v>9</v>
      </c>
      <c r="B19" s="7">
        <v>0.75</v>
      </c>
      <c r="C19" s="2"/>
      <c r="D19" s="32">
        <v>4</v>
      </c>
      <c r="E19" s="15">
        <v>0</v>
      </c>
    </row>
    <row r="20" spans="1:5" x14ac:dyDescent="0.2">
      <c r="A20" s="2">
        <v>10</v>
      </c>
      <c r="B20" s="7">
        <v>0.85</v>
      </c>
      <c r="C20" s="2"/>
      <c r="D20" s="32">
        <v>4.5</v>
      </c>
      <c r="E20" s="15">
        <v>1</v>
      </c>
    </row>
    <row r="21" spans="1:5" ht="13.5" thickBot="1" x14ac:dyDescent="0.25">
      <c r="A21" s="2">
        <v>11</v>
      </c>
      <c r="B21" s="7">
        <v>1.43</v>
      </c>
      <c r="C21" s="2"/>
      <c r="D21" s="61" t="str">
        <f>"&gt;"&amp;D20</f>
        <v>&gt;4.5</v>
      </c>
      <c r="E21" s="16">
        <v>0</v>
      </c>
    </row>
    <row r="22" spans="1:5" x14ac:dyDescent="0.2">
      <c r="A22" s="2">
        <v>12</v>
      </c>
      <c r="B22" s="7">
        <v>0.68</v>
      </c>
      <c r="C22" s="2"/>
      <c r="D22" s="55"/>
      <c r="E22" s="56"/>
    </row>
    <row r="23" spans="1:5" x14ac:dyDescent="0.2">
      <c r="A23" s="2">
        <v>13</v>
      </c>
      <c r="B23" s="7">
        <v>2.2200000000000002</v>
      </c>
      <c r="D23" s="24" t="s">
        <v>6</v>
      </c>
      <c r="E23" s="57">
        <f>AVERAGE(B11:B60)</f>
        <v>1.3596000000000001</v>
      </c>
    </row>
    <row r="24" spans="1:5" x14ac:dyDescent="0.2">
      <c r="A24" s="2">
        <v>14</v>
      </c>
      <c r="B24" s="7">
        <v>1.0900000000000001</v>
      </c>
      <c r="D24" s="24" t="s">
        <v>7</v>
      </c>
      <c r="E24" s="57">
        <f>MEDIAN(B11:B60)</f>
        <v>1.0950000000000002</v>
      </c>
    </row>
    <row r="25" spans="1:5" x14ac:dyDescent="0.2">
      <c r="A25" s="2">
        <v>15</v>
      </c>
      <c r="B25" s="7">
        <v>2.1800000000000002</v>
      </c>
      <c r="D25" s="24"/>
      <c r="E25" s="57"/>
    </row>
    <row r="26" spans="1:5" x14ac:dyDescent="0.2">
      <c r="A26" s="2">
        <v>16</v>
      </c>
      <c r="B26" s="7">
        <v>0.84</v>
      </c>
      <c r="D26" s="24" t="s">
        <v>8</v>
      </c>
      <c r="E26" s="57">
        <f>MIN(B11:B60)</f>
        <v>0.61</v>
      </c>
    </row>
    <row r="27" spans="1:5" ht="13.5" thickBot="1" x14ac:dyDescent="0.25">
      <c r="A27" s="2">
        <v>17</v>
      </c>
      <c r="B27" s="7">
        <v>1.1499999999999999</v>
      </c>
      <c r="D27" s="23" t="s">
        <v>9</v>
      </c>
      <c r="E27" s="58">
        <f>MAX(B11:B60)</f>
        <v>4.0599999999999996</v>
      </c>
    </row>
    <row r="28" spans="1:5" x14ac:dyDescent="0.2">
      <c r="A28" s="2">
        <v>18</v>
      </c>
      <c r="B28" s="7">
        <v>3.14</v>
      </c>
    </row>
    <row r="29" spans="1:5" x14ac:dyDescent="0.2">
      <c r="A29" s="2">
        <v>19</v>
      </c>
      <c r="B29" s="7">
        <v>1.1000000000000001</v>
      </c>
    </row>
    <row r="30" spans="1:5" x14ac:dyDescent="0.2">
      <c r="A30" s="2">
        <v>20</v>
      </c>
      <c r="B30" s="7">
        <v>4.0599999999999996</v>
      </c>
    </row>
    <row r="31" spans="1:5" x14ac:dyDescent="0.2">
      <c r="A31" s="2">
        <v>21</v>
      </c>
      <c r="B31" s="7">
        <v>0.88</v>
      </c>
    </row>
    <row r="32" spans="1:5" x14ac:dyDescent="0.2">
      <c r="A32" s="2">
        <v>22</v>
      </c>
      <c r="B32" s="7">
        <v>1.05</v>
      </c>
    </row>
    <row r="33" spans="1:4" x14ac:dyDescent="0.2">
      <c r="A33" s="2">
        <v>23</v>
      </c>
      <c r="B33" s="7">
        <v>1.85</v>
      </c>
    </row>
    <row r="34" spans="1:4" x14ac:dyDescent="0.2">
      <c r="A34" s="2">
        <v>24</v>
      </c>
      <c r="B34" s="7">
        <v>0.9</v>
      </c>
    </row>
    <row r="35" spans="1:4" x14ac:dyDescent="0.2">
      <c r="A35" s="2">
        <v>25</v>
      </c>
      <c r="B35" s="7">
        <v>0.85</v>
      </c>
      <c r="D35" t="s">
        <v>40</v>
      </c>
    </row>
    <row r="36" spans="1:4" x14ac:dyDescent="0.2">
      <c r="A36" s="2">
        <v>26</v>
      </c>
      <c r="B36" s="7">
        <v>1.08</v>
      </c>
      <c r="D36" t="s">
        <v>42</v>
      </c>
    </row>
    <row r="37" spans="1:4" x14ac:dyDescent="0.2">
      <c r="A37" s="2">
        <v>27</v>
      </c>
      <c r="B37" s="7">
        <v>1.53</v>
      </c>
      <c r="D37" t="s">
        <v>41</v>
      </c>
    </row>
    <row r="38" spans="1:4" x14ac:dyDescent="0.2">
      <c r="A38" s="2">
        <v>28</v>
      </c>
      <c r="B38" s="7">
        <v>0.78</v>
      </c>
      <c r="D38" t="str">
        <f>"Bin "&amp;D16&amp;" is all values greater than "&amp;D15&amp;" and less than or equal to " &amp;D16&amp;"."</f>
        <v>Bin 2.5 is all values greater than 2 and less than or equal to 2.5.</v>
      </c>
    </row>
    <row r="39" spans="1:4" x14ac:dyDescent="0.2">
      <c r="A39" s="2">
        <v>29</v>
      </c>
      <c r="B39" s="7">
        <v>2</v>
      </c>
      <c r="D39" t="str">
        <f>"The frequency value is the number of trials whose value for " &amp; A6 &amp; " falls in the bin."</f>
        <v>The frequency value is the number of trials whose value for Avg. Cust. Waiting Time falls in the bin.</v>
      </c>
    </row>
    <row r="40" spans="1:4" x14ac:dyDescent="0.2">
      <c r="A40" s="2">
        <v>30</v>
      </c>
      <c r="B40" s="7">
        <v>0.61</v>
      </c>
    </row>
    <row r="41" spans="1:4" x14ac:dyDescent="0.2">
      <c r="A41" s="2">
        <v>31</v>
      </c>
      <c r="B41" s="7">
        <v>0.98</v>
      </c>
    </row>
    <row r="42" spans="1:4" x14ac:dyDescent="0.2">
      <c r="A42" s="2">
        <v>32</v>
      </c>
      <c r="B42" s="7">
        <v>0.81</v>
      </c>
    </row>
    <row r="43" spans="1:4" x14ac:dyDescent="0.2">
      <c r="A43" s="2">
        <v>33</v>
      </c>
      <c r="B43" s="7">
        <v>1.1299999999999999</v>
      </c>
    </row>
    <row r="44" spans="1:4" x14ac:dyDescent="0.2">
      <c r="A44" s="2">
        <v>34</v>
      </c>
      <c r="B44" s="7">
        <v>1.21</v>
      </c>
    </row>
    <row r="45" spans="1:4" x14ac:dyDescent="0.2">
      <c r="A45" s="2">
        <v>35</v>
      </c>
      <c r="B45" s="7">
        <v>1.1399999999999999</v>
      </c>
    </row>
    <row r="46" spans="1:4" x14ac:dyDescent="0.2">
      <c r="A46" s="2">
        <v>36</v>
      </c>
      <c r="B46" s="7">
        <v>2.09</v>
      </c>
    </row>
    <row r="47" spans="1:4" x14ac:dyDescent="0.2">
      <c r="A47" s="2">
        <v>37</v>
      </c>
      <c r="B47" s="7">
        <v>0.72</v>
      </c>
    </row>
    <row r="48" spans="1:4" x14ac:dyDescent="0.2">
      <c r="A48" s="2">
        <v>38</v>
      </c>
      <c r="B48" s="7">
        <v>1.99</v>
      </c>
    </row>
    <row r="49" spans="1:2" x14ac:dyDescent="0.2">
      <c r="A49" s="2">
        <v>39</v>
      </c>
      <c r="B49" s="7">
        <v>2.25</v>
      </c>
    </row>
    <row r="50" spans="1:2" x14ac:dyDescent="0.2">
      <c r="A50" s="2">
        <v>40</v>
      </c>
      <c r="B50" s="7">
        <v>0.86</v>
      </c>
    </row>
    <row r="51" spans="1:2" x14ac:dyDescent="0.2">
      <c r="A51" s="2">
        <v>41</v>
      </c>
      <c r="B51" s="7">
        <v>1.51</v>
      </c>
    </row>
    <row r="52" spans="1:2" x14ac:dyDescent="0.2">
      <c r="A52" s="2">
        <v>42</v>
      </c>
      <c r="B52" s="7">
        <v>1.63</v>
      </c>
    </row>
    <row r="53" spans="1:2" x14ac:dyDescent="0.2">
      <c r="A53" s="2">
        <v>43</v>
      </c>
      <c r="B53" s="7">
        <v>1.03</v>
      </c>
    </row>
    <row r="54" spans="1:2" x14ac:dyDescent="0.2">
      <c r="A54" s="2">
        <v>44</v>
      </c>
      <c r="B54" s="7">
        <v>0.95</v>
      </c>
    </row>
    <row r="55" spans="1:2" x14ac:dyDescent="0.2">
      <c r="A55" s="2">
        <v>45</v>
      </c>
      <c r="B55" s="7">
        <v>0.62</v>
      </c>
    </row>
    <row r="56" spans="1:2" x14ac:dyDescent="0.2">
      <c r="A56" s="2">
        <v>46</v>
      </c>
      <c r="B56" s="7">
        <v>0.82</v>
      </c>
    </row>
    <row r="57" spans="1:2" x14ac:dyDescent="0.2">
      <c r="A57" s="2">
        <v>47</v>
      </c>
      <c r="B57" s="7">
        <v>0.86</v>
      </c>
    </row>
    <row r="58" spans="1:2" x14ac:dyDescent="0.2">
      <c r="A58" s="2">
        <v>48</v>
      </c>
      <c r="B58" s="7">
        <v>1.69</v>
      </c>
    </row>
    <row r="59" spans="1:2" x14ac:dyDescent="0.2">
      <c r="A59" s="2">
        <v>49</v>
      </c>
      <c r="B59" s="7">
        <v>1.5</v>
      </c>
    </row>
    <row r="60" spans="1:2" x14ac:dyDescent="0.2">
      <c r="A60" s="2">
        <v>50</v>
      </c>
      <c r="B60" s="7">
        <v>2.02</v>
      </c>
    </row>
    <row r="61" spans="1:2" x14ac:dyDescent="0.2">
      <c r="B61" s="7"/>
    </row>
    <row r="62" spans="1:2" x14ac:dyDescent="0.2">
      <c r="B62" s="7"/>
    </row>
    <row r="63" spans="1:2" x14ac:dyDescent="0.2">
      <c r="B63" s="7"/>
    </row>
    <row r="64" spans="1:2" x14ac:dyDescent="0.2">
      <c r="B64" s="7"/>
    </row>
    <row r="65" spans="2:2" x14ac:dyDescent="0.2">
      <c r="B65" s="7"/>
    </row>
    <row r="66" spans="2:2" x14ac:dyDescent="0.2">
      <c r="B66" s="7"/>
    </row>
    <row r="67" spans="2:2" x14ac:dyDescent="0.2">
      <c r="B67" s="7"/>
    </row>
    <row r="68" spans="2:2" x14ac:dyDescent="0.2">
      <c r="B68" s="7"/>
    </row>
    <row r="69" spans="2:2" x14ac:dyDescent="0.2">
      <c r="B69" s="7"/>
    </row>
    <row r="70" spans="2:2" x14ac:dyDescent="0.2">
      <c r="B70" s="7"/>
    </row>
    <row r="71" spans="2:2" x14ac:dyDescent="0.2">
      <c r="B71" s="7"/>
    </row>
    <row r="72" spans="2:2" x14ac:dyDescent="0.2">
      <c r="B72" s="7"/>
    </row>
    <row r="73" spans="2:2" x14ac:dyDescent="0.2">
      <c r="B73" s="7"/>
    </row>
    <row r="74" spans="2:2" x14ac:dyDescent="0.2">
      <c r="B74" s="7"/>
    </row>
    <row r="75" spans="2:2" x14ac:dyDescent="0.2">
      <c r="B75" s="7"/>
    </row>
    <row r="76" spans="2:2" x14ac:dyDescent="0.2">
      <c r="B76" s="7"/>
    </row>
    <row r="77" spans="2:2" x14ac:dyDescent="0.2">
      <c r="B77" s="7"/>
    </row>
    <row r="78" spans="2:2" x14ac:dyDescent="0.2">
      <c r="B78" s="7"/>
    </row>
    <row r="79" spans="2:2" x14ac:dyDescent="0.2">
      <c r="B79" s="7"/>
    </row>
    <row r="80" spans="2:2" x14ac:dyDescent="0.2">
      <c r="B80" s="7"/>
    </row>
    <row r="81" spans="2:2" x14ac:dyDescent="0.2">
      <c r="B81" s="7"/>
    </row>
    <row r="82" spans="2:2" x14ac:dyDescent="0.2">
      <c r="B82" s="7"/>
    </row>
    <row r="83" spans="2:2" x14ac:dyDescent="0.2">
      <c r="B83" s="7"/>
    </row>
    <row r="84" spans="2:2" x14ac:dyDescent="0.2">
      <c r="B84" s="7"/>
    </row>
    <row r="85" spans="2:2" x14ac:dyDescent="0.2">
      <c r="B85" s="7"/>
    </row>
    <row r="86" spans="2:2" x14ac:dyDescent="0.2">
      <c r="B86" s="7"/>
    </row>
    <row r="87" spans="2:2" x14ac:dyDescent="0.2">
      <c r="B87" s="7"/>
    </row>
    <row r="88" spans="2:2" x14ac:dyDescent="0.2">
      <c r="B88" s="7"/>
    </row>
    <row r="89" spans="2:2" x14ac:dyDescent="0.2">
      <c r="B89" s="7"/>
    </row>
    <row r="90" spans="2:2" x14ac:dyDescent="0.2">
      <c r="B90" s="7"/>
    </row>
    <row r="91" spans="2:2" x14ac:dyDescent="0.2">
      <c r="B91" s="7"/>
    </row>
    <row r="92" spans="2:2" x14ac:dyDescent="0.2">
      <c r="B92" s="7"/>
    </row>
    <row r="93" spans="2:2" x14ac:dyDescent="0.2">
      <c r="B93" s="7"/>
    </row>
    <row r="94" spans="2:2" x14ac:dyDescent="0.2">
      <c r="B94" s="7"/>
    </row>
    <row r="95" spans="2:2" x14ac:dyDescent="0.2">
      <c r="B95" s="7"/>
    </row>
    <row r="96" spans="2:2" x14ac:dyDescent="0.2">
      <c r="B96" s="7"/>
    </row>
    <row r="97" spans="2:2" x14ac:dyDescent="0.2">
      <c r="B97" s="7"/>
    </row>
    <row r="98" spans="2:2" x14ac:dyDescent="0.2">
      <c r="B98" s="7"/>
    </row>
    <row r="99" spans="2:2" x14ac:dyDescent="0.2">
      <c r="B99" s="7"/>
    </row>
    <row r="100" spans="2:2" x14ac:dyDescent="0.2">
      <c r="B100" s="7"/>
    </row>
    <row r="101" spans="2:2" x14ac:dyDescent="0.2">
      <c r="B101" s="7"/>
    </row>
    <row r="102" spans="2:2" x14ac:dyDescent="0.2">
      <c r="B102" s="7"/>
    </row>
    <row r="103" spans="2:2" x14ac:dyDescent="0.2">
      <c r="B103" s="7"/>
    </row>
    <row r="104" spans="2:2" x14ac:dyDescent="0.2">
      <c r="B104" s="7"/>
    </row>
    <row r="105" spans="2:2" x14ac:dyDescent="0.2">
      <c r="B105" s="7"/>
    </row>
    <row r="106" spans="2:2" x14ac:dyDescent="0.2">
      <c r="B106" s="7"/>
    </row>
    <row r="107" spans="2:2" x14ac:dyDescent="0.2">
      <c r="B107" s="7"/>
    </row>
    <row r="108" spans="2:2" x14ac:dyDescent="0.2">
      <c r="B108" s="7"/>
    </row>
    <row r="109" spans="2:2" x14ac:dyDescent="0.2">
      <c r="B109" s="7"/>
    </row>
    <row r="110" spans="2:2" x14ac:dyDescent="0.2">
      <c r="B110" s="7"/>
    </row>
    <row r="111" spans="2:2" x14ac:dyDescent="0.2">
      <c r="B111" s="7"/>
    </row>
    <row r="112" spans="2:2" x14ac:dyDescent="0.2">
      <c r="B112" s="7"/>
    </row>
    <row r="113" spans="2:2" x14ac:dyDescent="0.2">
      <c r="B113" s="7"/>
    </row>
    <row r="114" spans="2:2" x14ac:dyDescent="0.2">
      <c r="B114" s="7"/>
    </row>
    <row r="115" spans="2:2" x14ac:dyDescent="0.2">
      <c r="B115" s="7"/>
    </row>
    <row r="116" spans="2:2" x14ac:dyDescent="0.2">
      <c r="B116" s="7"/>
    </row>
    <row r="117" spans="2:2" x14ac:dyDescent="0.2">
      <c r="B117" s="7"/>
    </row>
    <row r="118" spans="2:2" x14ac:dyDescent="0.2">
      <c r="B118" s="7"/>
    </row>
    <row r="119" spans="2:2" x14ac:dyDescent="0.2">
      <c r="B119" s="7"/>
    </row>
    <row r="120" spans="2:2" x14ac:dyDescent="0.2">
      <c r="B120" s="7"/>
    </row>
    <row r="121" spans="2:2" x14ac:dyDescent="0.2">
      <c r="B121" s="7"/>
    </row>
    <row r="122" spans="2:2" x14ac:dyDescent="0.2">
      <c r="B122" s="7"/>
    </row>
    <row r="123" spans="2:2" x14ac:dyDescent="0.2">
      <c r="B123" s="7"/>
    </row>
    <row r="124" spans="2:2" x14ac:dyDescent="0.2">
      <c r="B124" s="7"/>
    </row>
    <row r="125" spans="2:2" x14ac:dyDescent="0.2">
      <c r="B125" s="7"/>
    </row>
    <row r="126" spans="2:2" x14ac:dyDescent="0.2">
      <c r="B126" s="7"/>
    </row>
    <row r="127" spans="2:2" x14ac:dyDescent="0.2">
      <c r="B127" s="7"/>
    </row>
    <row r="128" spans="2:2" x14ac:dyDescent="0.2">
      <c r="B128" s="7"/>
    </row>
    <row r="129" spans="2:2" x14ac:dyDescent="0.2">
      <c r="B129" s="7"/>
    </row>
    <row r="130" spans="2:2" x14ac:dyDescent="0.2">
      <c r="B130" s="7"/>
    </row>
    <row r="131" spans="2:2" x14ac:dyDescent="0.2">
      <c r="B131" s="7"/>
    </row>
    <row r="132" spans="2:2" x14ac:dyDescent="0.2">
      <c r="B132" s="7"/>
    </row>
    <row r="133" spans="2:2" x14ac:dyDescent="0.2">
      <c r="B133" s="7"/>
    </row>
    <row r="134" spans="2:2" x14ac:dyDescent="0.2">
      <c r="B134" s="7"/>
    </row>
    <row r="135" spans="2:2" x14ac:dyDescent="0.2">
      <c r="B135" s="7"/>
    </row>
    <row r="136" spans="2:2" x14ac:dyDescent="0.2">
      <c r="B136" s="7"/>
    </row>
    <row r="137" spans="2:2" x14ac:dyDescent="0.2">
      <c r="B137" s="7"/>
    </row>
    <row r="138" spans="2:2" x14ac:dyDescent="0.2">
      <c r="B138" s="7"/>
    </row>
    <row r="139" spans="2:2" x14ac:dyDescent="0.2">
      <c r="B139" s="7"/>
    </row>
    <row r="140" spans="2:2" x14ac:dyDescent="0.2">
      <c r="B140" s="7"/>
    </row>
    <row r="141" spans="2:2" x14ac:dyDescent="0.2">
      <c r="B141" s="7"/>
    </row>
    <row r="142" spans="2:2" x14ac:dyDescent="0.2">
      <c r="B142" s="7"/>
    </row>
    <row r="143" spans="2:2" x14ac:dyDescent="0.2">
      <c r="B143" s="7"/>
    </row>
    <row r="144" spans="2:2" x14ac:dyDescent="0.2">
      <c r="B144" s="7"/>
    </row>
    <row r="145" spans="2:2" x14ac:dyDescent="0.2">
      <c r="B145" s="7"/>
    </row>
    <row r="146" spans="2:2" x14ac:dyDescent="0.2">
      <c r="B146" s="7"/>
    </row>
    <row r="147" spans="2:2" x14ac:dyDescent="0.2">
      <c r="B147" s="7"/>
    </row>
    <row r="148" spans="2:2" x14ac:dyDescent="0.2">
      <c r="B148" s="7"/>
    </row>
    <row r="149" spans="2:2" x14ac:dyDescent="0.2">
      <c r="B149" s="7"/>
    </row>
    <row r="150" spans="2:2" x14ac:dyDescent="0.2">
      <c r="B150" s="7"/>
    </row>
    <row r="151" spans="2:2" x14ac:dyDescent="0.2">
      <c r="B151" s="7"/>
    </row>
    <row r="152" spans="2:2" x14ac:dyDescent="0.2">
      <c r="B152" s="7"/>
    </row>
    <row r="153" spans="2:2" x14ac:dyDescent="0.2">
      <c r="B153" s="7"/>
    </row>
    <row r="154" spans="2:2" x14ac:dyDescent="0.2">
      <c r="B154" s="7"/>
    </row>
    <row r="155" spans="2:2" x14ac:dyDescent="0.2">
      <c r="B155" s="7"/>
    </row>
    <row r="156" spans="2:2" x14ac:dyDescent="0.2">
      <c r="B156" s="7"/>
    </row>
    <row r="157" spans="2:2" x14ac:dyDescent="0.2">
      <c r="B157" s="7"/>
    </row>
    <row r="158" spans="2:2" x14ac:dyDescent="0.2">
      <c r="B158" s="7"/>
    </row>
    <row r="159" spans="2:2" x14ac:dyDescent="0.2">
      <c r="B159" s="7"/>
    </row>
    <row r="160" spans="2:2" x14ac:dyDescent="0.2">
      <c r="B160" s="7"/>
    </row>
    <row r="161" spans="2:2" x14ac:dyDescent="0.2">
      <c r="B161" s="7"/>
    </row>
    <row r="162" spans="2:2" x14ac:dyDescent="0.2">
      <c r="B162" s="7"/>
    </row>
    <row r="163" spans="2:2" x14ac:dyDescent="0.2">
      <c r="B163" s="7"/>
    </row>
    <row r="164" spans="2:2" x14ac:dyDescent="0.2">
      <c r="B164" s="7"/>
    </row>
    <row r="165" spans="2:2" x14ac:dyDescent="0.2">
      <c r="B165" s="7"/>
    </row>
    <row r="166" spans="2:2" x14ac:dyDescent="0.2">
      <c r="B166" s="7"/>
    </row>
    <row r="167" spans="2:2" x14ac:dyDescent="0.2">
      <c r="B167" s="7"/>
    </row>
    <row r="168" spans="2:2" x14ac:dyDescent="0.2">
      <c r="B168" s="7"/>
    </row>
    <row r="169" spans="2:2" x14ac:dyDescent="0.2">
      <c r="B169" s="7"/>
    </row>
    <row r="170" spans="2:2" x14ac:dyDescent="0.2">
      <c r="B170" s="7"/>
    </row>
    <row r="171" spans="2:2" x14ac:dyDescent="0.2">
      <c r="B171" s="7"/>
    </row>
    <row r="172" spans="2:2" x14ac:dyDescent="0.2">
      <c r="B172" s="7"/>
    </row>
    <row r="173" spans="2:2" x14ac:dyDescent="0.2">
      <c r="B173" s="7"/>
    </row>
    <row r="174" spans="2:2" x14ac:dyDescent="0.2">
      <c r="B174" s="7"/>
    </row>
    <row r="175" spans="2:2" x14ac:dyDescent="0.2">
      <c r="B175" s="7"/>
    </row>
    <row r="176" spans="2:2" x14ac:dyDescent="0.2">
      <c r="B176" s="7"/>
    </row>
    <row r="177" spans="2:2" x14ac:dyDescent="0.2">
      <c r="B177" s="7"/>
    </row>
    <row r="178" spans="2:2" x14ac:dyDescent="0.2">
      <c r="B178" s="7"/>
    </row>
    <row r="179" spans="2:2" x14ac:dyDescent="0.2">
      <c r="B179" s="7"/>
    </row>
    <row r="180" spans="2:2" x14ac:dyDescent="0.2">
      <c r="B180" s="7"/>
    </row>
    <row r="181" spans="2:2" x14ac:dyDescent="0.2">
      <c r="B181" s="7"/>
    </row>
    <row r="182" spans="2:2" x14ac:dyDescent="0.2">
      <c r="B182" s="7"/>
    </row>
    <row r="183" spans="2:2" x14ac:dyDescent="0.2">
      <c r="B183" s="7"/>
    </row>
    <row r="184" spans="2:2" x14ac:dyDescent="0.2">
      <c r="B184" s="7"/>
    </row>
    <row r="185" spans="2:2" x14ac:dyDescent="0.2">
      <c r="B185" s="7"/>
    </row>
    <row r="186" spans="2:2" x14ac:dyDescent="0.2">
      <c r="B186" s="7"/>
    </row>
    <row r="187" spans="2:2" x14ac:dyDescent="0.2">
      <c r="B187" s="7"/>
    </row>
    <row r="188" spans="2:2" x14ac:dyDescent="0.2">
      <c r="B188" s="7"/>
    </row>
    <row r="189" spans="2:2" x14ac:dyDescent="0.2">
      <c r="B189" s="7"/>
    </row>
    <row r="190" spans="2:2" x14ac:dyDescent="0.2">
      <c r="B190" s="7"/>
    </row>
    <row r="191" spans="2:2" x14ac:dyDescent="0.2">
      <c r="B191" s="7"/>
    </row>
    <row r="192" spans="2:2" x14ac:dyDescent="0.2">
      <c r="B192" s="7"/>
    </row>
    <row r="193" spans="2:2" x14ac:dyDescent="0.2">
      <c r="B193" s="7"/>
    </row>
    <row r="194" spans="2:2" x14ac:dyDescent="0.2">
      <c r="B194" s="7"/>
    </row>
    <row r="195" spans="2:2" x14ac:dyDescent="0.2">
      <c r="B195" s="7"/>
    </row>
    <row r="196" spans="2:2" x14ac:dyDescent="0.2">
      <c r="B196" s="7"/>
    </row>
    <row r="197" spans="2:2" x14ac:dyDescent="0.2">
      <c r="B197" s="7"/>
    </row>
    <row r="198" spans="2:2" x14ac:dyDescent="0.2">
      <c r="B198" s="7"/>
    </row>
    <row r="199" spans="2:2" x14ac:dyDescent="0.2">
      <c r="B199" s="7"/>
    </row>
    <row r="200" spans="2:2" x14ac:dyDescent="0.2">
      <c r="B200" s="7"/>
    </row>
    <row r="201" spans="2:2" x14ac:dyDescent="0.2">
      <c r="B201" s="7"/>
    </row>
    <row r="202" spans="2:2" x14ac:dyDescent="0.2">
      <c r="B202" s="7"/>
    </row>
    <row r="203" spans="2:2" x14ac:dyDescent="0.2">
      <c r="B203" s="7"/>
    </row>
    <row r="204" spans="2:2" x14ac:dyDescent="0.2">
      <c r="B204" s="7"/>
    </row>
    <row r="205" spans="2:2" x14ac:dyDescent="0.2">
      <c r="B205" s="7"/>
    </row>
    <row r="206" spans="2:2" x14ac:dyDescent="0.2">
      <c r="B206" s="7"/>
    </row>
    <row r="207" spans="2:2" x14ac:dyDescent="0.2">
      <c r="B207" s="7"/>
    </row>
    <row r="208" spans="2:2" x14ac:dyDescent="0.2">
      <c r="B208" s="7"/>
    </row>
    <row r="209" spans="2:2" x14ac:dyDescent="0.2">
      <c r="B209" s="7"/>
    </row>
    <row r="210" spans="2:2" x14ac:dyDescent="0.2">
      <c r="B210" s="7"/>
    </row>
    <row r="211" spans="2:2" x14ac:dyDescent="0.2">
      <c r="B211" s="7"/>
    </row>
    <row r="212" spans="2:2" x14ac:dyDescent="0.2">
      <c r="B212" s="7"/>
    </row>
    <row r="213" spans="2:2" x14ac:dyDescent="0.2">
      <c r="B213" s="7"/>
    </row>
    <row r="214" spans="2:2" x14ac:dyDescent="0.2">
      <c r="B214" s="7"/>
    </row>
    <row r="215" spans="2:2" x14ac:dyDescent="0.2">
      <c r="B215" s="7"/>
    </row>
    <row r="216" spans="2:2" x14ac:dyDescent="0.2">
      <c r="B216" s="7"/>
    </row>
    <row r="217" spans="2:2" x14ac:dyDescent="0.2">
      <c r="B217" s="7"/>
    </row>
    <row r="218" spans="2:2" x14ac:dyDescent="0.2">
      <c r="B218" s="7"/>
    </row>
    <row r="219" spans="2:2" x14ac:dyDescent="0.2">
      <c r="B219" s="7"/>
    </row>
    <row r="220" spans="2:2" x14ac:dyDescent="0.2">
      <c r="B220" s="7"/>
    </row>
    <row r="221" spans="2:2" x14ac:dyDescent="0.2">
      <c r="B221" s="7"/>
    </row>
    <row r="222" spans="2:2" x14ac:dyDescent="0.2">
      <c r="B222" s="7"/>
    </row>
    <row r="223" spans="2:2" x14ac:dyDescent="0.2">
      <c r="B223" s="7"/>
    </row>
    <row r="224" spans="2:2" x14ac:dyDescent="0.2">
      <c r="B224" s="7"/>
    </row>
    <row r="225" spans="2:2" x14ac:dyDescent="0.2">
      <c r="B225" s="7"/>
    </row>
    <row r="226" spans="2:2" x14ac:dyDescent="0.2">
      <c r="B226" s="7"/>
    </row>
    <row r="227" spans="2:2" x14ac:dyDescent="0.2">
      <c r="B227" s="7"/>
    </row>
    <row r="228" spans="2:2" x14ac:dyDescent="0.2">
      <c r="B228" s="7"/>
    </row>
    <row r="229" spans="2:2" x14ac:dyDescent="0.2">
      <c r="B229" s="7"/>
    </row>
    <row r="230" spans="2:2" x14ac:dyDescent="0.2">
      <c r="B230" s="7"/>
    </row>
    <row r="231" spans="2:2" x14ac:dyDescent="0.2">
      <c r="B231" s="7"/>
    </row>
    <row r="232" spans="2:2" x14ac:dyDescent="0.2">
      <c r="B232" s="7"/>
    </row>
    <row r="233" spans="2:2" x14ac:dyDescent="0.2">
      <c r="B233" s="7"/>
    </row>
    <row r="234" spans="2:2" x14ac:dyDescent="0.2">
      <c r="B234" s="7"/>
    </row>
    <row r="235" spans="2:2" x14ac:dyDescent="0.2">
      <c r="B235" s="7"/>
    </row>
    <row r="236" spans="2:2" x14ac:dyDescent="0.2">
      <c r="B236" s="7"/>
    </row>
    <row r="237" spans="2:2" x14ac:dyDescent="0.2">
      <c r="B237" s="7"/>
    </row>
    <row r="238" spans="2:2" x14ac:dyDescent="0.2">
      <c r="B238" s="7"/>
    </row>
    <row r="239" spans="2:2" x14ac:dyDescent="0.2">
      <c r="B239" s="7"/>
    </row>
    <row r="240" spans="2:2" x14ac:dyDescent="0.2">
      <c r="B240" s="7"/>
    </row>
    <row r="241" spans="2:2" x14ac:dyDescent="0.2">
      <c r="B241" s="7"/>
    </row>
    <row r="242" spans="2:2" x14ac:dyDescent="0.2">
      <c r="B242" s="7"/>
    </row>
    <row r="243" spans="2:2" x14ac:dyDescent="0.2">
      <c r="B243" s="7"/>
    </row>
    <row r="244" spans="2:2" x14ac:dyDescent="0.2">
      <c r="B244" s="7"/>
    </row>
    <row r="245" spans="2:2" x14ac:dyDescent="0.2">
      <c r="B245" s="7"/>
    </row>
    <row r="246" spans="2:2" x14ac:dyDescent="0.2">
      <c r="B246" s="7"/>
    </row>
    <row r="247" spans="2:2" x14ac:dyDescent="0.2">
      <c r="B247" s="7"/>
    </row>
    <row r="248" spans="2:2" x14ac:dyDescent="0.2">
      <c r="B248" s="7"/>
    </row>
    <row r="249" spans="2:2" x14ac:dyDescent="0.2">
      <c r="B249" s="7"/>
    </row>
    <row r="250" spans="2:2" x14ac:dyDescent="0.2">
      <c r="B250" s="7"/>
    </row>
    <row r="251" spans="2:2" x14ac:dyDescent="0.2">
      <c r="B251" s="7"/>
    </row>
    <row r="252" spans="2:2" x14ac:dyDescent="0.2">
      <c r="B252" s="7"/>
    </row>
    <row r="253" spans="2:2" x14ac:dyDescent="0.2">
      <c r="B253" s="7"/>
    </row>
    <row r="254" spans="2:2" x14ac:dyDescent="0.2">
      <c r="B254" s="7"/>
    </row>
    <row r="255" spans="2:2" x14ac:dyDescent="0.2">
      <c r="B255" s="7"/>
    </row>
    <row r="256" spans="2:2" x14ac:dyDescent="0.2">
      <c r="B256" s="7"/>
    </row>
    <row r="257" spans="2:2" x14ac:dyDescent="0.2">
      <c r="B257" s="7"/>
    </row>
    <row r="258" spans="2:2" x14ac:dyDescent="0.2">
      <c r="B258" s="7"/>
    </row>
    <row r="259" spans="2:2" x14ac:dyDescent="0.2">
      <c r="B259" s="7"/>
    </row>
    <row r="260" spans="2:2" x14ac:dyDescent="0.2">
      <c r="B260" s="7"/>
    </row>
    <row r="261" spans="2:2" x14ac:dyDescent="0.2">
      <c r="B261" s="7"/>
    </row>
    <row r="262" spans="2:2" x14ac:dyDescent="0.2">
      <c r="B262" s="7"/>
    </row>
    <row r="263" spans="2:2" x14ac:dyDescent="0.2">
      <c r="B263" s="7"/>
    </row>
    <row r="264" spans="2:2" x14ac:dyDescent="0.2">
      <c r="B264" s="7"/>
    </row>
    <row r="265" spans="2:2" x14ac:dyDescent="0.2">
      <c r="B265" s="7"/>
    </row>
    <row r="266" spans="2:2" x14ac:dyDescent="0.2">
      <c r="B266" s="7"/>
    </row>
    <row r="267" spans="2:2" x14ac:dyDescent="0.2">
      <c r="B267" s="7"/>
    </row>
    <row r="268" spans="2:2" x14ac:dyDescent="0.2">
      <c r="B268" s="7"/>
    </row>
    <row r="269" spans="2:2" x14ac:dyDescent="0.2">
      <c r="B269" s="7"/>
    </row>
    <row r="270" spans="2:2" x14ac:dyDescent="0.2">
      <c r="B270" s="7"/>
    </row>
    <row r="271" spans="2:2" x14ac:dyDescent="0.2">
      <c r="B271" s="7"/>
    </row>
    <row r="272" spans="2:2" x14ac:dyDescent="0.2">
      <c r="B272" s="7"/>
    </row>
    <row r="273" spans="2:2" x14ac:dyDescent="0.2">
      <c r="B273" s="7"/>
    </row>
    <row r="274" spans="2:2" x14ac:dyDescent="0.2">
      <c r="B274" s="7"/>
    </row>
    <row r="275" spans="2:2" x14ac:dyDescent="0.2">
      <c r="B275" s="7"/>
    </row>
    <row r="276" spans="2:2" x14ac:dyDescent="0.2">
      <c r="B276" s="7"/>
    </row>
    <row r="277" spans="2:2" x14ac:dyDescent="0.2">
      <c r="B277" s="7"/>
    </row>
    <row r="278" spans="2:2" x14ac:dyDescent="0.2">
      <c r="B278" s="7"/>
    </row>
    <row r="279" spans="2:2" x14ac:dyDescent="0.2">
      <c r="B279" s="7"/>
    </row>
    <row r="280" spans="2:2" x14ac:dyDescent="0.2">
      <c r="B280" s="7"/>
    </row>
    <row r="281" spans="2:2" x14ac:dyDescent="0.2">
      <c r="B281" s="7"/>
    </row>
    <row r="282" spans="2:2" x14ac:dyDescent="0.2">
      <c r="B282" s="7"/>
    </row>
    <row r="283" spans="2:2" x14ac:dyDescent="0.2">
      <c r="B283" s="7"/>
    </row>
    <row r="284" spans="2:2" x14ac:dyDescent="0.2">
      <c r="B284" s="7"/>
    </row>
    <row r="285" spans="2:2" x14ac:dyDescent="0.2">
      <c r="B285" s="7"/>
    </row>
    <row r="286" spans="2:2" x14ac:dyDescent="0.2">
      <c r="B286" s="7"/>
    </row>
    <row r="287" spans="2:2" x14ac:dyDescent="0.2">
      <c r="B287" s="7"/>
    </row>
    <row r="288" spans="2:2" x14ac:dyDescent="0.2">
      <c r="B288" s="7"/>
    </row>
    <row r="289" spans="2:2" x14ac:dyDescent="0.2">
      <c r="B289" s="7"/>
    </row>
    <row r="290" spans="2:2" x14ac:dyDescent="0.2">
      <c r="B290" s="7"/>
    </row>
    <row r="291" spans="2:2" x14ac:dyDescent="0.2">
      <c r="B291" s="7"/>
    </row>
    <row r="292" spans="2:2" x14ac:dyDescent="0.2">
      <c r="B292" s="7"/>
    </row>
    <row r="293" spans="2:2" x14ac:dyDescent="0.2">
      <c r="B293" s="7"/>
    </row>
    <row r="294" spans="2:2" x14ac:dyDescent="0.2">
      <c r="B294" s="7"/>
    </row>
    <row r="295" spans="2:2" x14ac:dyDescent="0.2">
      <c r="B295" s="7"/>
    </row>
    <row r="296" spans="2:2" x14ac:dyDescent="0.2">
      <c r="B296" s="7"/>
    </row>
    <row r="297" spans="2:2" x14ac:dyDescent="0.2">
      <c r="B297" s="7"/>
    </row>
    <row r="298" spans="2:2" x14ac:dyDescent="0.2">
      <c r="B298" s="7"/>
    </row>
    <row r="299" spans="2:2" x14ac:dyDescent="0.2">
      <c r="B299" s="7"/>
    </row>
    <row r="300" spans="2:2" x14ac:dyDescent="0.2">
      <c r="B300" s="7"/>
    </row>
    <row r="301" spans="2:2" x14ac:dyDescent="0.2">
      <c r="B301" s="7"/>
    </row>
    <row r="302" spans="2:2" x14ac:dyDescent="0.2">
      <c r="B302" s="7"/>
    </row>
    <row r="303" spans="2:2" x14ac:dyDescent="0.2">
      <c r="B303" s="7"/>
    </row>
    <row r="304" spans="2:2" x14ac:dyDescent="0.2">
      <c r="B304" s="7"/>
    </row>
    <row r="305" spans="2:2" x14ac:dyDescent="0.2">
      <c r="B305" s="7"/>
    </row>
    <row r="306" spans="2:2" x14ac:dyDescent="0.2">
      <c r="B306" s="7"/>
    </row>
    <row r="307" spans="2:2" x14ac:dyDescent="0.2">
      <c r="B307" s="7"/>
    </row>
    <row r="308" spans="2:2" x14ac:dyDescent="0.2">
      <c r="B308" s="7"/>
    </row>
    <row r="309" spans="2:2" x14ac:dyDescent="0.2">
      <c r="B309" s="7"/>
    </row>
    <row r="310" spans="2:2" x14ac:dyDescent="0.2">
      <c r="B310" s="7"/>
    </row>
    <row r="311" spans="2:2" x14ac:dyDescent="0.2">
      <c r="B311" s="7"/>
    </row>
    <row r="312" spans="2:2" x14ac:dyDescent="0.2">
      <c r="B312" s="7"/>
    </row>
    <row r="313" spans="2:2" x14ac:dyDescent="0.2">
      <c r="B313" s="7"/>
    </row>
    <row r="314" spans="2:2" x14ac:dyDescent="0.2">
      <c r="B314" s="7"/>
    </row>
    <row r="315" spans="2:2" x14ac:dyDescent="0.2">
      <c r="B315" s="7"/>
    </row>
    <row r="316" spans="2:2" x14ac:dyDescent="0.2">
      <c r="B316" s="7"/>
    </row>
    <row r="317" spans="2:2" x14ac:dyDescent="0.2">
      <c r="B317" s="7"/>
    </row>
    <row r="318" spans="2:2" x14ac:dyDescent="0.2">
      <c r="B318" s="7"/>
    </row>
    <row r="319" spans="2:2" x14ac:dyDescent="0.2">
      <c r="B319" s="7"/>
    </row>
    <row r="320" spans="2:2" x14ac:dyDescent="0.2">
      <c r="B320" s="7"/>
    </row>
    <row r="321" spans="2:2" x14ac:dyDescent="0.2">
      <c r="B321" s="7"/>
    </row>
    <row r="322" spans="2:2" x14ac:dyDescent="0.2">
      <c r="B322" s="7"/>
    </row>
    <row r="323" spans="2:2" x14ac:dyDescent="0.2">
      <c r="B323" s="7"/>
    </row>
    <row r="324" spans="2:2" x14ac:dyDescent="0.2">
      <c r="B324" s="7"/>
    </row>
    <row r="325" spans="2:2" x14ac:dyDescent="0.2">
      <c r="B325" s="7"/>
    </row>
    <row r="326" spans="2:2" x14ac:dyDescent="0.2">
      <c r="B326" s="7"/>
    </row>
    <row r="327" spans="2:2" x14ac:dyDescent="0.2">
      <c r="B327" s="7"/>
    </row>
    <row r="328" spans="2:2" x14ac:dyDescent="0.2">
      <c r="B328" s="7"/>
    </row>
    <row r="329" spans="2:2" x14ac:dyDescent="0.2">
      <c r="B329" s="7"/>
    </row>
    <row r="330" spans="2:2" x14ac:dyDescent="0.2">
      <c r="B330" s="7"/>
    </row>
    <row r="331" spans="2:2" x14ac:dyDescent="0.2">
      <c r="B331" s="7"/>
    </row>
    <row r="332" spans="2:2" x14ac:dyDescent="0.2">
      <c r="B332" s="7"/>
    </row>
    <row r="333" spans="2:2" x14ac:dyDescent="0.2">
      <c r="B333" s="7"/>
    </row>
    <row r="334" spans="2:2" x14ac:dyDescent="0.2">
      <c r="B334" s="7"/>
    </row>
    <row r="335" spans="2:2" x14ac:dyDescent="0.2">
      <c r="B335" s="7"/>
    </row>
    <row r="336" spans="2:2" x14ac:dyDescent="0.2">
      <c r="B336" s="7"/>
    </row>
    <row r="337" spans="2:2" x14ac:dyDescent="0.2">
      <c r="B337" s="7"/>
    </row>
    <row r="338" spans="2:2" x14ac:dyDescent="0.2">
      <c r="B338" s="7"/>
    </row>
    <row r="339" spans="2:2" x14ac:dyDescent="0.2">
      <c r="B339" s="7"/>
    </row>
    <row r="340" spans="2:2" x14ac:dyDescent="0.2">
      <c r="B340" s="7"/>
    </row>
    <row r="341" spans="2:2" x14ac:dyDescent="0.2">
      <c r="B341" s="7"/>
    </row>
    <row r="342" spans="2:2" x14ac:dyDescent="0.2">
      <c r="B342" s="7"/>
    </row>
    <row r="343" spans="2:2" x14ac:dyDescent="0.2">
      <c r="B343" s="7"/>
    </row>
    <row r="344" spans="2:2" x14ac:dyDescent="0.2">
      <c r="B344" s="7"/>
    </row>
    <row r="345" spans="2:2" x14ac:dyDescent="0.2">
      <c r="B345" s="7"/>
    </row>
    <row r="346" spans="2:2" x14ac:dyDescent="0.2">
      <c r="B346" s="7"/>
    </row>
    <row r="347" spans="2:2" x14ac:dyDescent="0.2">
      <c r="B347" s="7"/>
    </row>
    <row r="348" spans="2:2" x14ac:dyDescent="0.2">
      <c r="B348" s="7"/>
    </row>
    <row r="349" spans="2:2" x14ac:dyDescent="0.2">
      <c r="B349" s="7"/>
    </row>
    <row r="350" spans="2:2" x14ac:dyDescent="0.2">
      <c r="B350" s="7"/>
    </row>
    <row r="351" spans="2:2" x14ac:dyDescent="0.2">
      <c r="B351" s="7"/>
    </row>
    <row r="352" spans="2:2" x14ac:dyDescent="0.2">
      <c r="B352" s="7"/>
    </row>
    <row r="353" spans="2:2" x14ac:dyDescent="0.2">
      <c r="B353" s="7"/>
    </row>
    <row r="354" spans="2:2" x14ac:dyDescent="0.2">
      <c r="B354" s="7"/>
    </row>
    <row r="355" spans="2:2" x14ac:dyDescent="0.2">
      <c r="B355" s="7"/>
    </row>
    <row r="356" spans="2:2" x14ac:dyDescent="0.2">
      <c r="B356" s="7"/>
    </row>
    <row r="357" spans="2:2" x14ac:dyDescent="0.2">
      <c r="B357" s="7"/>
    </row>
    <row r="358" spans="2:2" x14ac:dyDescent="0.2">
      <c r="B358" s="7"/>
    </row>
    <row r="359" spans="2:2" x14ac:dyDescent="0.2">
      <c r="B359" s="7"/>
    </row>
    <row r="360" spans="2:2" x14ac:dyDescent="0.2">
      <c r="B360" s="7"/>
    </row>
    <row r="361" spans="2:2" x14ac:dyDescent="0.2">
      <c r="B361" s="7"/>
    </row>
    <row r="362" spans="2:2" x14ac:dyDescent="0.2">
      <c r="B362" s="7"/>
    </row>
    <row r="363" spans="2:2" x14ac:dyDescent="0.2">
      <c r="B363" s="7"/>
    </row>
    <row r="364" spans="2:2" x14ac:dyDescent="0.2">
      <c r="B364" s="7"/>
    </row>
    <row r="365" spans="2:2" x14ac:dyDescent="0.2">
      <c r="B365" s="7"/>
    </row>
    <row r="366" spans="2:2" x14ac:dyDescent="0.2">
      <c r="B366" s="7"/>
    </row>
    <row r="367" spans="2:2" x14ac:dyDescent="0.2">
      <c r="B367" s="7"/>
    </row>
    <row r="368" spans="2:2" x14ac:dyDescent="0.2">
      <c r="B368" s="7"/>
    </row>
    <row r="369" spans="2:2" x14ac:dyDescent="0.2">
      <c r="B369" s="7"/>
    </row>
    <row r="370" spans="2:2" x14ac:dyDescent="0.2">
      <c r="B370" s="7"/>
    </row>
    <row r="371" spans="2:2" x14ac:dyDescent="0.2">
      <c r="B371" s="7"/>
    </row>
    <row r="372" spans="2:2" x14ac:dyDescent="0.2">
      <c r="B372" s="7"/>
    </row>
    <row r="373" spans="2:2" x14ac:dyDescent="0.2">
      <c r="B373" s="7"/>
    </row>
    <row r="374" spans="2:2" x14ac:dyDescent="0.2">
      <c r="B374" s="7"/>
    </row>
    <row r="375" spans="2:2" x14ac:dyDescent="0.2">
      <c r="B375" s="7"/>
    </row>
    <row r="376" spans="2:2" x14ac:dyDescent="0.2">
      <c r="B376" s="7"/>
    </row>
    <row r="377" spans="2:2" x14ac:dyDescent="0.2">
      <c r="B377" s="7"/>
    </row>
    <row r="378" spans="2:2" x14ac:dyDescent="0.2">
      <c r="B378" s="7"/>
    </row>
    <row r="379" spans="2:2" x14ac:dyDescent="0.2">
      <c r="B379" s="7"/>
    </row>
    <row r="380" spans="2:2" x14ac:dyDescent="0.2">
      <c r="B380" s="7"/>
    </row>
    <row r="381" spans="2:2" x14ac:dyDescent="0.2">
      <c r="B381" s="7"/>
    </row>
    <row r="382" spans="2:2" x14ac:dyDescent="0.2">
      <c r="B382" s="7"/>
    </row>
    <row r="383" spans="2:2" x14ac:dyDescent="0.2">
      <c r="B383" s="7"/>
    </row>
    <row r="384" spans="2:2" x14ac:dyDescent="0.2">
      <c r="B384" s="7"/>
    </row>
    <row r="385" spans="2:2" x14ac:dyDescent="0.2">
      <c r="B385" s="7"/>
    </row>
    <row r="386" spans="2:2" x14ac:dyDescent="0.2">
      <c r="B386" s="7"/>
    </row>
    <row r="387" spans="2:2" x14ac:dyDescent="0.2">
      <c r="B387" s="7"/>
    </row>
    <row r="388" spans="2:2" x14ac:dyDescent="0.2">
      <c r="B388" s="7"/>
    </row>
    <row r="389" spans="2:2" x14ac:dyDescent="0.2">
      <c r="B389" s="7"/>
    </row>
    <row r="390" spans="2:2" x14ac:dyDescent="0.2">
      <c r="B390" s="7"/>
    </row>
    <row r="391" spans="2:2" x14ac:dyDescent="0.2">
      <c r="B391" s="7"/>
    </row>
    <row r="392" spans="2:2" x14ac:dyDescent="0.2">
      <c r="B392" s="7"/>
    </row>
    <row r="393" spans="2:2" x14ac:dyDescent="0.2">
      <c r="B393" s="7"/>
    </row>
    <row r="394" spans="2:2" x14ac:dyDescent="0.2">
      <c r="B394" s="7"/>
    </row>
    <row r="395" spans="2:2" x14ac:dyDescent="0.2">
      <c r="B395" s="7"/>
    </row>
    <row r="396" spans="2:2" x14ac:dyDescent="0.2">
      <c r="B396" s="7"/>
    </row>
    <row r="397" spans="2:2" x14ac:dyDescent="0.2">
      <c r="B397" s="7"/>
    </row>
    <row r="398" spans="2:2" x14ac:dyDescent="0.2">
      <c r="B398" s="7"/>
    </row>
    <row r="399" spans="2:2" x14ac:dyDescent="0.2">
      <c r="B399" s="7"/>
    </row>
    <row r="400" spans="2:2" x14ac:dyDescent="0.2">
      <c r="B400" s="7"/>
    </row>
    <row r="401" spans="2:2" x14ac:dyDescent="0.2">
      <c r="B401" s="7"/>
    </row>
    <row r="402" spans="2:2" x14ac:dyDescent="0.2">
      <c r="B402" s="7"/>
    </row>
    <row r="403" spans="2:2" x14ac:dyDescent="0.2">
      <c r="B403" s="7"/>
    </row>
    <row r="404" spans="2:2" x14ac:dyDescent="0.2">
      <c r="B404" s="7"/>
    </row>
    <row r="405" spans="2:2" x14ac:dyDescent="0.2">
      <c r="B405" s="7"/>
    </row>
    <row r="406" spans="2:2" x14ac:dyDescent="0.2">
      <c r="B406" s="7"/>
    </row>
    <row r="407" spans="2:2" x14ac:dyDescent="0.2">
      <c r="B407" s="7"/>
    </row>
    <row r="408" spans="2:2" x14ac:dyDescent="0.2">
      <c r="B408" s="7"/>
    </row>
    <row r="409" spans="2:2" x14ac:dyDescent="0.2">
      <c r="B409" s="7"/>
    </row>
    <row r="410" spans="2:2" x14ac:dyDescent="0.2">
      <c r="B410" s="7"/>
    </row>
  </sheetData>
  <mergeCells count="14">
    <mergeCell ref="L9:N9"/>
    <mergeCell ref="E7:K7"/>
    <mergeCell ref="E8:K8"/>
    <mergeCell ref="A5:C5"/>
    <mergeCell ref="A6:C6"/>
    <mergeCell ref="A9:B9"/>
    <mergeCell ref="D9:E9"/>
    <mergeCell ref="A1:K1"/>
    <mergeCell ref="A3:B3"/>
    <mergeCell ref="J6:O6"/>
    <mergeCell ref="J5:O5"/>
    <mergeCell ref="J3:O3"/>
    <mergeCell ref="J4:O4"/>
    <mergeCell ref="A4:E4"/>
  </mergeCells>
  <phoneticPr fontId="0" type="noConversion"/>
  <conditionalFormatting sqref="B11:B410">
    <cfRule type="cellIs" dxfId="0" priority="1" stopIfTrue="1" operator="greaterThan">
      <formula>$D$20</formula>
    </cfRule>
  </conditionalFormatting>
  <dataValidations xWindow="42844" yWindow="73" count="1">
    <dataValidation type="whole" errorStyle="information" showInputMessage="1" showErrorMessage="1" error="Value must be between 1 and 400." prompt="Enter a value from 1 to 400." sqref="C3">
      <formula1>1</formula1>
      <formula2>400</formula2>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unExperiment_Click">
                <anchor moveWithCells="1">
                  <from>
                    <xdr:col>5</xdr:col>
                    <xdr:colOff>447675</xdr:colOff>
                    <xdr:row>1</xdr:row>
                    <xdr:rowOff>142875</xdr:rowOff>
                  </from>
                  <to>
                    <xdr:col>8</xdr:col>
                    <xdr:colOff>342900</xdr:colOff>
                    <xdr:row>5</xdr:row>
                    <xdr:rowOff>19050</xdr:rowOff>
                  </to>
                </anchor>
              </controlPr>
            </control>
          </mc:Choice>
        </mc:AlternateContent>
        <mc:AlternateContent xmlns:mc="http://schemas.openxmlformats.org/markup-compatibility/2006">
          <mc:Choice Requires="x14">
            <control shapeId="2053" r:id="rId5" name="Button 5">
              <controlPr defaultSize="0" print="0" autoFill="0" autoPict="0" macro="[0]!ResetSeedExp_Click">
                <anchor moveWithCells="1">
                  <from>
                    <xdr:col>12</xdr:col>
                    <xdr:colOff>161925</xdr:colOff>
                    <xdr:row>9</xdr:row>
                    <xdr:rowOff>47625</xdr:rowOff>
                  </from>
                  <to>
                    <xdr:col>14</xdr:col>
                    <xdr:colOff>276225</xdr:colOff>
                    <xdr:row>9</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50"/>
  <sheetViews>
    <sheetView topLeftCell="A16" workbookViewId="0">
      <selection activeCell="A26" sqref="A26:G39"/>
    </sheetView>
  </sheetViews>
  <sheetFormatPr defaultRowHeight="12.75" x14ac:dyDescent="0.2"/>
  <cols>
    <col min="10" max="10" width="11.28515625" customWidth="1"/>
  </cols>
  <sheetData>
    <row r="1" spans="1:15" ht="18" x14ac:dyDescent="0.25">
      <c r="A1" s="101" t="s">
        <v>29</v>
      </c>
      <c r="B1" s="101"/>
      <c r="C1" s="101"/>
      <c r="D1" s="101"/>
      <c r="E1" s="101"/>
      <c r="F1" s="101"/>
      <c r="G1" s="101"/>
    </row>
    <row r="2" spans="1:15" ht="12.75" customHeight="1" thickBot="1" x14ac:dyDescent="0.25">
      <c r="A2" s="25"/>
      <c r="B2" s="25"/>
      <c r="C2" s="25"/>
      <c r="D2" s="25"/>
      <c r="E2" s="25"/>
      <c r="F2" s="25"/>
      <c r="G2" s="25"/>
    </row>
    <row r="3" spans="1:15" ht="12.75" customHeight="1" x14ac:dyDescent="0.2">
      <c r="A3" s="116" t="s">
        <v>38</v>
      </c>
      <c r="B3" s="117"/>
      <c r="C3" s="117"/>
      <c r="D3" s="117"/>
      <c r="E3" s="117"/>
      <c r="F3" s="117"/>
      <c r="G3" s="118"/>
      <c r="I3" s="81" t="s">
        <v>17</v>
      </c>
      <c r="J3" s="82"/>
      <c r="K3" s="107" t="s">
        <v>36</v>
      </c>
      <c r="L3" s="108"/>
      <c r="M3" s="108"/>
      <c r="N3" s="108"/>
      <c r="O3" s="109"/>
    </row>
    <row r="4" spans="1:15" ht="12.75" customHeight="1" thickBot="1" x14ac:dyDescent="0.25">
      <c r="A4" s="119"/>
      <c r="B4" s="120"/>
      <c r="C4" s="120"/>
      <c r="D4" s="120"/>
      <c r="E4" s="120"/>
      <c r="F4" s="120"/>
      <c r="G4" s="121"/>
      <c r="I4" s="83"/>
      <c r="J4" s="84"/>
      <c r="K4" s="110"/>
      <c r="L4" s="111"/>
      <c r="M4" s="111"/>
      <c r="N4" s="111"/>
      <c r="O4" s="112"/>
    </row>
    <row r="5" spans="1:15" ht="12.75" customHeight="1" x14ac:dyDescent="0.2">
      <c r="A5" s="119"/>
      <c r="B5" s="120"/>
      <c r="C5" s="120"/>
      <c r="D5" s="120"/>
      <c r="E5" s="120"/>
      <c r="F5" s="120"/>
      <c r="G5" s="121"/>
      <c r="I5" s="19" t="s">
        <v>3</v>
      </c>
      <c r="J5" s="20" t="s">
        <v>4</v>
      </c>
      <c r="K5" s="110"/>
      <c r="L5" s="111"/>
      <c r="M5" s="111"/>
      <c r="N5" s="111"/>
      <c r="O5" s="112"/>
    </row>
    <row r="6" spans="1:15" ht="12.75" customHeight="1" thickBot="1" x14ac:dyDescent="0.25">
      <c r="A6" s="122"/>
      <c r="B6" s="123"/>
      <c r="C6" s="123"/>
      <c r="D6" s="123"/>
      <c r="E6" s="123"/>
      <c r="F6" s="123"/>
      <c r="G6" s="124"/>
      <c r="I6" s="21">
        <v>0</v>
      </c>
      <c r="J6" s="15">
        <v>46</v>
      </c>
      <c r="K6" s="110"/>
      <c r="L6" s="111"/>
      <c r="M6" s="111"/>
      <c r="N6" s="111"/>
      <c r="O6" s="112"/>
    </row>
    <row r="7" spans="1:15" ht="13.5" thickBot="1" x14ac:dyDescent="0.25">
      <c r="I7" s="21">
        <v>2</v>
      </c>
      <c r="J7" s="15">
        <v>23</v>
      </c>
      <c r="K7" s="110"/>
      <c r="L7" s="111"/>
      <c r="M7" s="111"/>
      <c r="N7" s="111"/>
      <c r="O7" s="112"/>
    </row>
    <row r="8" spans="1:15" ht="12.75" customHeight="1" x14ac:dyDescent="0.2">
      <c r="A8" s="107" t="s">
        <v>43</v>
      </c>
      <c r="B8" s="108"/>
      <c r="C8" s="108"/>
      <c r="D8" s="108"/>
      <c r="E8" s="108"/>
      <c r="F8" s="108"/>
      <c r="G8" s="109"/>
      <c r="I8" s="21">
        <v>4</v>
      </c>
      <c r="J8" s="15">
        <v>19</v>
      </c>
      <c r="K8" s="110"/>
      <c r="L8" s="111"/>
      <c r="M8" s="111"/>
      <c r="N8" s="111"/>
      <c r="O8" s="112"/>
    </row>
    <row r="9" spans="1:15" ht="12.75" customHeight="1" x14ac:dyDescent="0.2">
      <c r="A9" s="110"/>
      <c r="B9" s="111"/>
      <c r="C9" s="111"/>
      <c r="D9" s="111"/>
      <c r="E9" s="111"/>
      <c r="F9" s="111"/>
      <c r="G9" s="112"/>
      <c r="I9" s="21">
        <v>6</v>
      </c>
      <c r="J9" s="15">
        <v>7</v>
      </c>
      <c r="K9" s="110"/>
      <c r="L9" s="111"/>
      <c r="M9" s="111"/>
      <c r="N9" s="111"/>
      <c r="O9" s="112"/>
    </row>
    <row r="10" spans="1:15" x14ac:dyDescent="0.2">
      <c r="A10" s="110"/>
      <c r="B10" s="111"/>
      <c r="C10" s="111"/>
      <c r="D10" s="111"/>
      <c r="E10" s="111"/>
      <c r="F10" s="111"/>
      <c r="G10" s="112"/>
      <c r="I10" s="21">
        <v>8</v>
      </c>
      <c r="J10" s="15">
        <v>3</v>
      </c>
      <c r="K10" s="110"/>
      <c r="L10" s="111"/>
      <c r="M10" s="111"/>
      <c r="N10" s="111"/>
      <c r="O10" s="112"/>
    </row>
    <row r="11" spans="1:15" x14ac:dyDescent="0.2">
      <c r="A11" s="110"/>
      <c r="B11" s="111"/>
      <c r="C11" s="111"/>
      <c r="D11" s="111"/>
      <c r="E11" s="111"/>
      <c r="F11" s="111"/>
      <c r="G11" s="112"/>
      <c r="I11" s="21">
        <v>10</v>
      </c>
      <c r="J11" s="15">
        <v>2</v>
      </c>
      <c r="K11" s="110"/>
      <c r="L11" s="111"/>
      <c r="M11" s="111"/>
      <c r="N11" s="111"/>
      <c r="O11" s="112"/>
    </row>
    <row r="12" spans="1:15" x14ac:dyDescent="0.2">
      <c r="A12" s="110"/>
      <c r="B12" s="111"/>
      <c r="C12" s="111"/>
      <c r="D12" s="111"/>
      <c r="E12" s="111"/>
      <c r="F12" s="111"/>
      <c r="G12" s="112"/>
      <c r="I12" s="21">
        <v>12</v>
      </c>
      <c r="J12" s="15">
        <v>0</v>
      </c>
      <c r="K12" s="110"/>
      <c r="L12" s="111"/>
      <c r="M12" s="111"/>
      <c r="N12" s="111"/>
      <c r="O12" s="112"/>
    </row>
    <row r="13" spans="1:15" x14ac:dyDescent="0.2">
      <c r="A13" s="110"/>
      <c r="B13" s="111"/>
      <c r="C13" s="111"/>
      <c r="D13" s="111"/>
      <c r="E13" s="111"/>
      <c r="F13" s="111"/>
      <c r="G13" s="112"/>
      <c r="I13" s="21">
        <v>14</v>
      </c>
      <c r="J13" s="15">
        <v>0</v>
      </c>
      <c r="K13" s="110"/>
      <c r="L13" s="111"/>
      <c r="M13" s="111"/>
      <c r="N13" s="111"/>
      <c r="O13" s="112"/>
    </row>
    <row r="14" spans="1:15" ht="13.5" thickBot="1" x14ac:dyDescent="0.25">
      <c r="A14" s="113"/>
      <c r="B14" s="114"/>
      <c r="C14" s="114"/>
      <c r="D14" s="114"/>
      <c r="E14" s="114"/>
      <c r="F14" s="114"/>
      <c r="G14" s="115"/>
      <c r="I14" s="21">
        <v>16</v>
      </c>
      <c r="J14" s="15">
        <v>0</v>
      </c>
      <c r="K14" s="110"/>
      <c r="L14" s="111"/>
      <c r="M14" s="111"/>
      <c r="N14" s="111"/>
      <c r="O14" s="112"/>
    </row>
    <row r="15" spans="1:15" ht="13.5" thickBot="1" x14ac:dyDescent="0.25">
      <c r="I15" s="22" t="s">
        <v>35</v>
      </c>
      <c r="J15" s="16">
        <v>0</v>
      </c>
      <c r="K15" s="113"/>
      <c r="L15" s="114"/>
      <c r="M15" s="114"/>
      <c r="N15" s="114"/>
      <c r="O15" s="115"/>
    </row>
    <row r="16" spans="1:15" ht="12.75" customHeight="1" x14ac:dyDescent="0.2">
      <c r="A16" s="107" t="s">
        <v>44</v>
      </c>
      <c r="B16" s="108"/>
      <c r="C16" s="108"/>
      <c r="D16" s="108"/>
      <c r="E16" s="108"/>
      <c r="F16" s="108"/>
      <c r="G16" s="109"/>
      <c r="I16" s="107" t="s">
        <v>37</v>
      </c>
      <c r="J16" s="108"/>
      <c r="K16" s="108"/>
      <c r="L16" s="108"/>
      <c r="M16" s="108"/>
      <c r="N16" s="108"/>
      <c r="O16" s="109"/>
    </row>
    <row r="17" spans="1:15" x14ac:dyDescent="0.2">
      <c r="A17" s="110"/>
      <c r="B17" s="111"/>
      <c r="C17" s="111"/>
      <c r="D17" s="111"/>
      <c r="E17" s="111"/>
      <c r="F17" s="111"/>
      <c r="G17" s="112"/>
      <c r="I17" s="110"/>
      <c r="J17" s="111"/>
      <c r="K17" s="111"/>
      <c r="L17" s="111"/>
      <c r="M17" s="111"/>
      <c r="N17" s="111"/>
      <c r="O17" s="112"/>
    </row>
    <row r="18" spans="1:15" x14ac:dyDescent="0.2">
      <c r="A18" s="110"/>
      <c r="B18" s="111"/>
      <c r="C18" s="111"/>
      <c r="D18" s="111"/>
      <c r="E18" s="111"/>
      <c r="F18" s="111"/>
      <c r="G18" s="112"/>
      <c r="I18" s="110"/>
      <c r="J18" s="111"/>
      <c r="K18" s="111"/>
      <c r="L18" s="111"/>
      <c r="M18" s="111"/>
      <c r="N18" s="111"/>
      <c r="O18" s="112"/>
    </row>
    <row r="19" spans="1:15" x14ac:dyDescent="0.2">
      <c r="A19" s="110"/>
      <c r="B19" s="111"/>
      <c r="C19" s="111"/>
      <c r="D19" s="111"/>
      <c r="E19" s="111"/>
      <c r="F19" s="111"/>
      <c r="G19" s="112"/>
      <c r="I19" s="110"/>
      <c r="J19" s="111"/>
      <c r="K19" s="111"/>
      <c r="L19" s="111"/>
      <c r="M19" s="111"/>
      <c r="N19" s="111"/>
      <c r="O19" s="112"/>
    </row>
    <row r="20" spans="1:15" x14ac:dyDescent="0.2">
      <c r="A20" s="110"/>
      <c r="B20" s="111"/>
      <c r="C20" s="111"/>
      <c r="D20" s="111"/>
      <c r="E20" s="111"/>
      <c r="F20" s="111"/>
      <c r="G20" s="112"/>
      <c r="I20" s="110"/>
      <c r="J20" s="111"/>
      <c r="K20" s="111"/>
      <c r="L20" s="111"/>
      <c r="M20" s="111"/>
      <c r="N20" s="111"/>
      <c r="O20" s="112"/>
    </row>
    <row r="21" spans="1:15" x14ac:dyDescent="0.2">
      <c r="A21" s="110"/>
      <c r="B21" s="111"/>
      <c r="C21" s="111"/>
      <c r="D21" s="111"/>
      <c r="E21" s="111"/>
      <c r="F21" s="111"/>
      <c r="G21" s="112"/>
      <c r="I21" s="110"/>
      <c r="J21" s="111"/>
      <c r="K21" s="111"/>
      <c r="L21" s="111"/>
      <c r="M21" s="111"/>
      <c r="N21" s="111"/>
      <c r="O21" s="112"/>
    </row>
    <row r="22" spans="1:15" ht="12" customHeight="1" x14ac:dyDescent="0.2">
      <c r="A22" s="110"/>
      <c r="B22" s="111"/>
      <c r="C22" s="111"/>
      <c r="D22" s="111"/>
      <c r="E22" s="111"/>
      <c r="F22" s="111"/>
      <c r="G22" s="112"/>
      <c r="I22" s="110"/>
      <c r="J22" s="111"/>
      <c r="K22" s="111"/>
      <c r="L22" s="111"/>
      <c r="M22" s="111"/>
      <c r="N22" s="111"/>
      <c r="O22" s="112"/>
    </row>
    <row r="23" spans="1:15" x14ac:dyDescent="0.2">
      <c r="A23" s="110"/>
      <c r="B23" s="111"/>
      <c r="C23" s="111"/>
      <c r="D23" s="111"/>
      <c r="E23" s="111"/>
      <c r="F23" s="111"/>
      <c r="G23" s="112"/>
      <c r="I23" s="110"/>
      <c r="J23" s="111"/>
      <c r="K23" s="111"/>
      <c r="L23" s="111"/>
      <c r="M23" s="111"/>
      <c r="N23" s="111"/>
      <c r="O23" s="112"/>
    </row>
    <row r="24" spans="1:15" ht="13.5" thickBot="1" x14ac:dyDescent="0.25">
      <c r="A24" s="113"/>
      <c r="B24" s="114"/>
      <c r="C24" s="114"/>
      <c r="D24" s="114"/>
      <c r="E24" s="114"/>
      <c r="F24" s="114"/>
      <c r="G24" s="115"/>
      <c r="I24" s="110"/>
      <c r="J24" s="111"/>
      <c r="K24" s="111"/>
      <c r="L24" s="111"/>
      <c r="M24" s="111"/>
      <c r="N24" s="111"/>
      <c r="O24" s="112"/>
    </row>
    <row r="25" spans="1:15" ht="13.5" thickBot="1" x14ac:dyDescent="0.25">
      <c r="I25" s="110"/>
      <c r="J25" s="111"/>
      <c r="K25" s="111"/>
      <c r="L25" s="111"/>
      <c r="M25" s="111"/>
      <c r="N25" s="111"/>
      <c r="O25" s="112"/>
    </row>
    <row r="26" spans="1:15" x14ac:dyDescent="0.2">
      <c r="A26" s="125" t="s">
        <v>47</v>
      </c>
      <c r="B26" s="126"/>
      <c r="C26" s="126"/>
      <c r="D26" s="126"/>
      <c r="E26" s="126"/>
      <c r="F26" s="126"/>
      <c r="G26" s="127"/>
      <c r="I26" s="110"/>
      <c r="J26" s="111"/>
      <c r="K26" s="111"/>
      <c r="L26" s="111"/>
      <c r="M26" s="111"/>
      <c r="N26" s="111"/>
      <c r="O26" s="112"/>
    </row>
    <row r="27" spans="1:15" x14ac:dyDescent="0.2">
      <c r="A27" s="128"/>
      <c r="B27" s="129"/>
      <c r="C27" s="129"/>
      <c r="D27" s="129"/>
      <c r="E27" s="129"/>
      <c r="F27" s="129"/>
      <c r="G27" s="130"/>
      <c r="I27" s="110"/>
      <c r="J27" s="111"/>
      <c r="K27" s="111"/>
      <c r="L27" s="111"/>
      <c r="M27" s="111"/>
      <c r="N27" s="111"/>
      <c r="O27" s="112"/>
    </row>
    <row r="28" spans="1:15" ht="13.5" thickBot="1" x14ac:dyDescent="0.25">
      <c r="A28" s="128"/>
      <c r="B28" s="129"/>
      <c r="C28" s="129"/>
      <c r="D28" s="129"/>
      <c r="E28" s="129"/>
      <c r="F28" s="129"/>
      <c r="G28" s="130"/>
      <c r="I28" s="113"/>
      <c r="J28" s="114"/>
      <c r="K28" s="114"/>
      <c r="L28" s="114"/>
      <c r="M28" s="114"/>
      <c r="N28" s="114"/>
      <c r="O28" s="115"/>
    </row>
    <row r="29" spans="1:15" ht="13.5" thickBot="1" x14ac:dyDescent="0.25">
      <c r="A29" s="128"/>
      <c r="B29" s="129"/>
      <c r="C29" s="129"/>
      <c r="D29" s="129"/>
      <c r="E29" s="129"/>
      <c r="F29" s="129"/>
      <c r="G29" s="130"/>
    </row>
    <row r="30" spans="1:15" x14ac:dyDescent="0.2">
      <c r="A30" s="128"/>
      <c r="B30" s="129"/>
      <c r="C30" s="129"/>
      <c r="D30" s="129"/>
      <c r="E30" s="129"/>
      <c r="F30" s="129"/>
      <c r="G30" s="130"/>
      <c r="I30" s="107" t="s">
        <v>45</v>
      </c>
      <c r="J30" s="108"/>
      <c r="K30" s="108"/>
      <c r="L30" s="108"/>
      <c r="M30" s="108"/>
      <c r="N30" s="108"/>
      <c r="O30" s="109"/>
    </row>
    <row r="31" spans="1:15" x14ac:dyDescent="0.2">
      <c r="A31" s="128"/>
      <c r="B31" s="129"/>
      <c r="C31" s="129"/>
      <c r="D31" s="129"/>
      <c r="E31" s="129"/>
      <c r="F31" s="129"/>
      <c r="G31" s="130"/>
      <c r="I31" s="110"/>
      <c r="J31" s="111"/>
      <c r="K31" s="111"/>
      <c r="L31" s="111"/>
      <c r="M31" s="111"/>
      <c r="N31" s="111"/>
      <c r="O31" s="112"/>
    </row>
    <row r="32" spans="1:15" x14ac:dyDescent="0.2">
      <c r="A32" s="128"/>
      <c r="B32" s="129"/>
      <c r="C32" s="129"/>
      <c r="D32" s="129"/>
      <c r="E32" s="129"/>
      <c r="F32" s="129"/>
      <c r="G32" s="130"/>
      <c r="I32" s="110"/>
      <c r="J32" s="111"/>
      <c r="K32" s="111"/>
      <c r="L32" s="111"/>
      <c r="M32" s="111"/>
      <c r="N32" s="111"/>
      <c r="O32" s="112"/>
    </row>
    <row r="33" spans="1:15" x14ac:dyDescent="0.2">
      <c r="A33" s="128"/>
      <c r="B33" s="129"/>
      <c r="C33" s="129"/>
      <c r="D33" s="129"/>
      <c r="E33" s="129"/>
      <c r="F33" s="129"/>
      <c r="G33" s="130"/>
      <c r="I33" s="110"/>
      <c r="J33" s="111"/>
      <c r="K33" s="111"/>
      <c r="L33" s="111"/>
      <c r="M33" s="111"/>
      <c r="N33" s="111"/>
      <c r="O33" s="112"/>
    </row>
    <row r="34" spans="1:15" x14ac:dyDescent="0.2">
      <c r="A34" s="128"/>
      <c r="B34" s="129"/>
      <c r="C34" s="129"/>
      <c r="D34" s="129"/>
      <c r="E34" s="129"/>
      <c r="F34" s="129"/>
      <c r="G34" s="130"/>
      <c r="I34" s="110"/>
      <c r="J34" s="111"/>
      <c r="K34" s="111"/>
      <c r="L34" s="111"/>
      <c r="M34" s="111"/>
      <c r="N34" s="111"/>
      <c r="O34" s="112"/>
    </row>
    <row r="35" spans="1:15" x14ac:dyDescent="0.2">
      <c r="A35" s="128"/>
      <c r="B35" s="129"/>
      <c r="C35" s="129"/>
      <c r="D35" s="129"/>
      <c r="E35" s="129"/>
      <c r="F35" s="129"/>
      <c r="G35" s="130"/>
      <c r="I35" s="110"/>
      <c r="J35" s="111"/>
      <c r="K35" s="111"/>
      <c r="L35" s="111"/>
      <c r="M35" s="111"/>
      <c r="N35" s="111"/>
      <c r="O35" s="112"/>
    </row>
    <row r="36" spans="1:15" x14ac:dyDescent="0.2">
      <c r="A36" s="128"/>
      <c r="B36" s="129"/>
      <c r="C36" s="129"/>
      <c r="D36" s="129"/>
      <c r="E36" s="129"/>
      <c r="F36" s="129"/>
      <c r="G36" s="130"/>
      <c r="I36" s="110"/>
      <c r="J36" s="111"/>
      <c r="K36" s="111"/>
      <c r="L36" s="111"/>
      <c r="M36" s="111"/>
      <c r="N36" s="111"/>
      <c r="O36" s="112"/>
    </row>
    <row r="37" spans="1:15" x14ac:dyDescent="0.2">
      <c r="A37" s="128"/>
      <c r="B37" s="129"/>
      <c r="C37" s="129"/>
      <c r="D37" s="129"/>
      <c r="E37" s="129"/>
      <c r="F37" s="129"/>
      <c r="G37" s="130"/>
      <c r="I37" s="110"/>
      <c r="J37" s="111"/>
      <c r="K37" s="111"/>
      <c r="L37" s="111"/>
      <c r="M37" s="111"/>
      <c r="N37" s="111"/>
      <c r="O37" s="112"/>
    </row>
    <row r="38" spans="1:15" x14ac:dyDescent="0.2">
      <c r="A38" s="128"/>
      <c r="B38" s="129"/>
      <c r="C38" s="129"/>
      <c r="D38" s="129"/>
      <c r="E38" s="129"/>
      <c r="F38" s="129"/>
      <c r="G38" s="130"/>
      <c r="I38" s="110"/>
      <c r="J38" s="111"/>
      <c r="K38" s="111"/>
      <c r="L38" s="111"/>
      <c r="M38" s="111"/>
      <c r="N38" s="111"/>
      <c r="O38" s="112"/>
    </row>
    <row r="39" spans="1:15" ht="13.5" thickBot="1" x14ac:dyDescent="0.25">
      <c r="A39" s="131"/>
      <c r="B39" s="132"/>
      <c r="C39" s="132"/>
      <c r="D39" s="132"/>
      <c r="E39" s="132"/>
      <c r="F39" s="132"/>
      <c r="G39" s="133"/>
      <c r="I39" s="110"/>
      <c r="J39" s="111"/>
      <c r="K39" s="111"/>
      <c r="L39" s="111"/>
      <c r="M39" s="111"/>
      <c r="N39" s="111"/>
      <c r="O39" s="112"/>
    </row>
    <row r="40" spans="1:15" ht="13.5" thickBot="1" x14ac:dyDescent="0.25">
      <c r="I40" s="110"/>
      <c r="J40" s="111"/>
      <c r="K40" s="111"/>
      <c r="L40" s="111"/>
      <c r="M40" s="111"/>
      <c r="N40" s="111"/>
      <c r="O40" s="112"/>
    </row>
    <row r="41" spans="1:15" x14ac:dyDescent="0.2">
      <c r="A41" s="125" t="s">
        <v>46</v>
      </c>
      <c r="B41" s="134"/>
      <c r="C41" s="134"/>
      <c r="D41" s="134"/>
      <c r="E41" s="134"/>
      <c r="F41" s="134"/>
      <c r="G41" s="135"/>
      <c r="I41" s="110"/>
      <c r="J41" s="111"/>
      <c r="K41" s="111"/>
      <c r="L41" s="111"/>
      <c r="M41" s="111"/>
      <c r="N41" s="111"/>
      <c r="O41" s="112"/>
    </row>
    <row r="42" spans="1:15" x14ac:dyDescent="0.2">
      <c r="A42" s="136"/>
      <c r="B42" s="137"/>
      <c r="C42" s="137"/>
      <c r="D42" s="137"/>
      <c r="E42" s="137"/>
      <c r="F42" s="137"/>
      <c r="G42" s="138"/>
      <c r="I42" s="110"/>
      <c r="J42" s="111"/>
      <c r="K42" s="111"/>
      <c r="L42" s="111"/>
      <c r="M42" s="111"/>
      <c r="N42" s="111"/>
      <c r="O42" s="112"/>
    </row>
    <row r="43" spans="1:15" x14ac:dyDescent="0.2">
      <c r="A43" s="136"/>
      <c r="B43" s="137"/>
      <c r="C43" s="137"/>
      <c r="D43" s="137"/>
      <c r="E43" s="137"/>
      <c r="F43" s="137"/>
      <c r="G43" s="138"/>
      <c r="I43" s="110"/>
      <c r="J43" s="111"/>
      <c r="K43" s="111"/>
      <c r="L43" s="111"/>
      <c r="M43" s="111"/>
      <c r="N43" s="111"/>
      <c r="O43" s="112"/>
    </row>
    <row r="44" spans="1:15" x14ac:dyDescent="0.2">
      <c r="A44" s="136"/>
      <c r="B44" s="137"/>
      <c r="C44" s="137"/>
      <c r="D44" s="137"/>
      <c r="E44" s="137"/>
      <c r="F44" s="137"/>
      <c r="G44" s="138"/>
      <c r="I44" s="110"/>
      <c r="J44" s="111"/>
      <c r="K44" s="111"/>
      <c r="L44" s="111"/>
      <c r="M44" s="111"/>
      <c r="N44" s="111"/>
      <c r="O44" s="112"/>
    </row>
    <row r="45" spans="1:15" x14ac:dyDescent="0.2">
      <c r="A45" s="136"/>
      <c r="B45" s="137"/>
      <c r="C45" s="137"/>
      <c r="D45" s="137"/>
      <c r="E45" s="137"/>
      <c r="F45" s="137"/>
      <c r="G45" s="138"/>
      <c r="I45" s="110"/>
      <c r="J45" s="111"/>
      <c r="K45" s="111"/>
      <c r="L45" s="111"/>
      <c r="M45" s="111"/>
      <c r="N45" s="111"/>
      <c r="O45" s="112"/>
    </row>
    <row r="46" spans="1:15" x14ac:dyDescent="0.2">
      <c r="A46" s="136"/>
      <c r="B46" s="137"/>
      <c r="C46" s="137"/>
      <c r="D46" s="137"/>
      <c r="E46" s="137"/>
      <c r="F46" s="137"/>
      <c r="G46" s="138"/>
      <c r="I46" s="110"/>
      <c r="J46" s="111"/>
      <c r="K46" s="111"/>
      <c r="L46" s="111"/>
      <c r="M46" s="111"/>
      <c r="N46" s="111"/>
      <c r="O46" s="112"/>
    </row>
    <row r="47" spans="1:15" x14ac:dyDescent="0.2">
      <c r="A47" s="136"/>
      <c r="B47" s="137"/>
      <c r="C47" s="137"/>
      <c r="D47" s="137"/>
      <c r="E47" s="137"/>
      <c r="F47" s="137"/>
      <c r="G47" s="138"/>
      <c r="I47" s="110"/>
      <c r="J47" s="111"/>
      <c r="K47" s="111"/>
      <c r="L47" s="111"/>
      <c r="M47" s="111"/>
      <c r="N47" s="111"/>
      <c r="O47" s="112"/>
    </row>
    <row r="48" spans="1:15" ht="13.5" thickBot="1" x14ac:dyDescent="0.25">
      <c r="A48" s="136"/>
      <c r="B48" s="137"/>
      <c r="C48" s="137"/>
      <c r="D48" s="137"/>
      <c r="E48" s="137"/>
      <c r="F48" s="137"/>
      <c r="G48" s="138"/>
      <c r="I48" s="113"/>
      <c r="J48" s="114"/>
      <c r="K48" s="114"/>
      <c r="L48" s="114"/>
      <c r="M48" s="114"/>
      <c r="N48" s="114"/>
      <c r="O48" s="115"/>
    </row>
    <row r="49" spans="1:7" x14ac:dyDescent="0.2">
      <c r="A49" s="136"/>
      <c r="B49" s="137"/>
      <c r="C49" s="137"/>
      <c r="D49" s="137"/>
      <c r="E49" s="137"/>
      <c r="F49" s="137"/>
      <c r="G49" s="138"/>
    </row>
    <row r="50" spans="1:7" ht="13.5" thickBot="1" x14ac:dyDescent="0.25">
      <c r="A50" s="139"/>
      <c r="B50" s="140"/>
      <c r="C50" s="140"/>
      <c r="D50" s="140"/>
      <c r="E50" s="140"/>
      <c r="F50" s="140"/>
      <c r="G50" s="141"/>
    </row>
  </sheetData>
  <mergeCells count="10">
    <mergeCell ref="A1:G1"/>
    <mergeCell ref="A8:G14"/>
    <mergeCell ref="A16:G24"/>
    <mergeCell ref="A3:G6"/>
    <mergeCell ref="A26:G39"/>
    <mergeCell ref="I16:O28"/>
    <mergeCell ref="I3:J4"/>
    <mergeCell ref="K3:O15"/>
    <mergeCell ref="I30:O48"/>
    <mergeCell ref="A41:G50"/>
  </mergeCells>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One Trial</vt:lpstr>
      <vt:lpstr>Experiment</vt:lpstr>
      <vt:lpstr>Explain</vt:lpstr>
      <vt:lpstr>Seed1</vt:lpstr>
      <vt:lpstr>Seed2</vt:lpstr>
    </vt:vector>
  </TitlesOfParts>
  <Company>Brooks-Pri Automation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Carson</dc:creator>
  <cp:lastModifiedBy>Charley Ferrari</cp:lastModifiedBy>
  <dcterms:created xsi:type="dcterms:W3CDTF">2003-12-17T21:30:37Z</dcterms:created>
  <dcterms:modified xsi:type="dcterms:W3CDTF">2015-09-06T21:32:39Z</dcterms:modified>
</cp:coreProperties>
</file>